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My Drive\التطبيقات\جميع اكسلات التطبيقات\"/>
    </mc:Choice>
  </mc:AlternateContent>
  <xr:revisionPtr revIDLastSave="0" documentId="13_ncr:1_{7662AB63-5F5A-468D-BFE0-D79F02A94DC3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Current_Status" sheetId="1" r:id="rId1"/>
    <sheet name="Pending_Orders" sheetId="2" r:id="rId2"/>
    <sheet name="Size_Machine_Matrix" sheetId="3" r:id="rId3"/>
    <sheet name="Machine_Master" sheetId="4" r:id="rId4"/>
    <sheet name="Pipe Production" sheetId="5" r:id="rId5"/>
    <sheet name="Mixer Production" sheetId="6" r:id="rId6"/>
    <sheet name="Mixing Depart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11" i="7" l="1"/>
  <c r="F11" i="7"/>
  <c r="H10" i="7"/>
  <c r="I10" i="7" s="1"/>
  <c r="I9" i="7"/>
  <c r="H9" i="7"/>
  <c r="H8" i="7"/>
  <c r="I8" i="7" s="1"/>
  <c r="H7" i="7"/>
  <c r="I7" i="7" s="1"/>
  <c r="I6" i="7"/>
  <c r="H6" i="7"/>
  <c r="H11" i="7" s="1"/>
  <c r="I11" i="6"/>
  <c r="H11" i="6"/>
  <c r="K10" i="6"/>
  <c r="J10" i="6"/>
  <c r="J9" i="6"/>
  <c r="K9" i="6" s="1"/>
  <c r="J8" i="6"/>
  <c r="K8" i="6" s="1"/>
  <c r="K7" i="6"/>
  <c r="J7" i="6"/>
  <c r="J6" i="6"/>
  <c r="K6" i="6" s="1"/>
  <c r="J5" i="6"/>
  <c r="J11" i="6" s="1"/>
  <c r="I55" i="5"/>
  <c r="H55" i="5"/>
  <c r="G55" i="5"/>
  <c r="E55" i="5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H8" i="1"/>
  <c r="H7" i="1"/>
  <c r="H6" i="1"/>
  <c r="H5" i="1"/>
  <c r="H4" i="1"/>
  <c r="H3" i="1"/>
  <c r="H2" i="1"/>
  <c r="I11" i="7" l="1"/>
  <c r="K5" i="6"/>
  <c r="K11" i="6" s="1"/>
</calcChain>
</file>

<file path=xl/sharedStrings.xml><?xml version="1.0" encoding="utf-8"?>
<sst xmlns="http://schemas.openxmlformats.org/spreadsheetml/2006/main" count="1573" uniqueCount="376">
  <si>
    <r>
      <rPr>
        <b/>
        <sz val="10"/>
        <color rgb="FFFFFFFF"/>
        <rFont val="Noto Sans"/>
        <family val="2"/>
        <charset val="1"/>
      </rPr>
      <t xml:space="preserve">خط الإنتاج </t>
    </r>
    <r>
      <rPr>
        <b/>
        <sz val="10"/>
        <color rgb="FFFFFFFF"/>
        <rFont val="Calibri"/>
        <charset val="1"/>
      </rPr>
      <t>(Line ID)</t>
    </r>
  </si>
  <si>
    <r>
      <rPr>
        <b/>
        <sz val="10"/>
        <color rgb="FFFFFFFF"/>
        <rFont val="Noto Sans"/>
        <family val="2"/>
        <charset val="1"/>
      </rPr>
      <t xml:space="preserve">اسم الماكينة </t>
    </r>
    <r>
      <rPr>
        <b/>
        <sz val="10"/>
        <color rgb="FFFFFFFF"/>
        <rFont val="Calibri"/>
        <charset val="1"/>
      </rPr>
      <t>(Machine Name)</t>
    </r>
  </si>
  <si>
    <r>
      <rPr>
        <b/>
        <sz val="10"/>
        <color rgb="FFFFFFFF"/>
        <rFont val="Noto Sans"/>
        <family val="2"/>
        <charset val="1"/>
      </rPr>
      <t xml:space="preserve">الحالة </t>
    </r>
    <r>
      <rPr>
        <b/>
        <sz val="10"/>
        <color rgb="FFFFFFFF"/>
        <rFont val="Calibri"/>
        <charset val="1"/>
      </rPr>
      <t>(Status)</t>
    </r>
  </si>
  <si>
    <r>
      <rPr>
        <b/>
        <sz val="10"/>
        <color rgb="FFFFFFFF"/>
        <rFont val="Noto Sans"/>
        <family val="2"/>
        <charset val="1"/>
      </rPr>
      <t xml:space="preserve">الصنف الشغال حاليا </t>
    </r>
    <r>
      <rPr>
        <b/>
        <sz val="10"/>
        <color rgb="FFFFFFFF"/>
        <rFont val="Calibri"/>
        <charset val="1"/>
      </rPr>
      <t>(Active Item Code)</t>
    </r>
  </si>
  <si>
    <r>
      <rPr>
        <b/>
        <sz val="10"/>
        <color rgb="FFFFFFFF"/>
        <rFont val="Noto Sans"/>
        <family val="2"/>
        <charset val="1"/>
      </rPr>
      <t xml:space="preserve">اسم الصنف </t>
    </r>
    <r>
      <rPr>
        <b/>
        <sz val="10"/>
        <color rgb="FFFFFFFF"/>
        <rFont val="Calibri"/>
        <charset val="1"/>
      </rPr>
      <t>(Item Name)</t>
    </r>
  </si>
  <si>
    <r>
      <rPr>
        <b/>
        <sz val="10"/>
        <color rgb="FFFFFFFF"/>
        <rFont val="Noto Sans"/>
        <family val="2"/>
        <charset val="1"/>
      </rPr>
      <t xml:space="preserve">وزن الوحدة </t>
    </r>
    <r>
      <rPr>
        <b/>
        <sz val="10"/>
        <color rgb="FFFFFFFF"/>
        <rFont val="Calibri"/>
        <charset val="1"/>
      </rPr>
      <t>(Unit Weight kg/pc)</t>
    </r>
  </si>
  <si>
    <r>
      <rPr>
        <b/>
        <sz val="10"/>
        <color rgb="FFFFFFFF"/>
        <rFont val="Noto Sans"/>
        <family val="2"/>
        <charset val="1"/>
      </rPr>
      <t xml:space="preserve">إجمالي كمية الأمر </t>
    </r>
    <r>
      <rPr>
        <b/>
        <sz val="10"/>
        <color rgb="FFFFFFFF"/>
        <rFont val="Calibri"/>
        <charset val="1"/>
      </rPr>
      <t>(Total Order Qty)</t>
    </r>
  </si>
  <si>
    <r>
      <rPr>
        <b/>
        <sz val="10"/>
        <color rgb="FFFFFFFF"/>
        <rFont val="Noto Sans"/>
        <family val="2"/>
        <charset val="1"/>
      </rPr>
      <t xml:space="preserve">الساعات المتبقية للانتهاء </t>
    </r>
    <r>
      <rPr>
        <b/>
        <sz val="10"/>
        <color rgb="FFFFFFFF"/>
        <rFont val="Calibri"/>
        <charset val="1"/>
      </rPr>
      <t>(Remaining Hours)</t>
    </r>
  </si>
  <si>
    <r>
      <rPr>
        <b/>
        <sz val="10"/>
        <color rgb="FFFFFFFF"/>
        <rFont val="Noto Sans"/>
        <family val="2"/>
        <charset val="1"/>
      </rPr>
      <t xml:space="preserve">الكمية المنتجة حتى الآن </t>
    </r>
    <r>
      <rPr>
        <b/>
        <sz val="10"/>
        <color rgb="FFFFFFFF"/>
        <rFont val="Calibri"/>
        <charset val="1"/>
      </rPr>
      <t>(Quantity Produced)</t>
    </r>
  </si>
  <si>
    <r>
      <rPr>
        <b/>
        <sz val="10"/>
        <color rgb="FFFFFFFF"/>
        <rFont val="Noto Sans"/>
        <family val="2"/>
        <charset val="1"/>
      </rPr>
      <t xml:space="preserve">الكمية المتبقية </t>
    </r>
    <r>
      <rPr>
        <b/>
        <sz val="10"/>
        <color rgb="FFFFFFFF"/>
        <rFont val="Calibri"/>
        <charset val="1"/>
      </rPr>
      <t>(Remaining Quantity)</t>
    </r>
  </si>
  <si>
    <r>
      <rPr>
        <b/>
        <sz val="10"/>
        <color rgb="FFFFFFFF"/>
        <rFont val="Noto Sans"/>
        <family val="2"/>
        <charset val="1"/>
      </rPr>
      <t xml:space="preserve">ملاحظات التشغيل </t>
    </r>
    <r>
      <rPr>
        <b/>
        <sz val="10"/>
        <color rgb="FFFFFFFF"/>
        <rFont val="Calibri"/>
        <charset val="1"/>
      </rPr>
      <t>(Notes)</t>
    </r>
  </si>
  <si>
    <r>
      <rPr>
        <b/>
        <sz val="10"/>
        <color rgb="FFFFFFFF"/>
        <rFont val="Noto Sans"/>
        <family val="2"/>
        <charset val="1"/>
      </rPr>
      <t xml:space="preserve">معدل الإنتاج اليومي </t>
    </r>
    <r>
      <rPr>
        <b/>
        <sz val="10"/>
        <color rgb="FFFFFFFF"/>
        <rFont val="Calibri"/>
        <charset val="1"/>
      </rPr>
      <t>(Daily Production pcs/day)</t>
    </r>
  </si>
  <si>
    <r>
      <rPr>
        <b/>
        <sz val="10"/>
        <color rgb="FFFFFFFF"/>
        <rFont val="Noto Sans"/>
        <family val="2"/>
        <charset val="1"/>
      </rPr>
      <t xml:space="preserve">معدل الماكينة </t>
    </r>
    <r>
      <rPr>
        <b/>
        <sz val="10"/>
        <color rgb="FFFFFFFF"/>
        <rFont val="Calibri"/>
        <charset val="1"/>
      </rPr>
      <t>(Machine Output kg/h)</t>
    </r>
  </si>
  <si>
    <r>
      <rPr>
        <b/>
        <sz val="10"/>
        <color rgb="FFFFFFFF"/>
        <rFont val="Noto Sans"/>
        <family val="2"/>
        <charset val="1"/>
      </rPr>
      <t xml:space="preserve">معدل تقديري للمقاس الحالي </t>
    </r>
    <r>
      <rPr>
        <b/>
        <sz val="10"/>
        <color rgb="FFFFFFFF"/>
        <rFont val="Calibri"/>
        <charset val="1"/>
      </rPr>
      <t>kg/h (Estimated Output for Active Size)</t>
    </r>
  </si>
  <si>
    <r>
      <rPr>
        <b/>
        <sz val="10"/>
        <color rgb="FFFFFFFF"/>
        <rFont val="Noto Sans"/>
        <family val="2"/>
        <charset val="1"/>
      </rPr>
      <t xml:space="preserve">تقييم التوافق </t>
    </r>
    <r>
      <rPr>
        <b/>
        <sz val="10"/>
        <color rgb="FFFFFFFF"/>
        <rFont val="Calibri"/>
        <charset val="1"/>
      </rPr>
      <t>(Compatibility Check)</t>
    </r>
  </si>
  <si>
    <r>
      <rPr>
        <b/>
        <sz val="10"/>
        <color rgb="FFFFFFFF"/>
        <rFont val="Noto Sans"/>
        <family val="2"/>
        <charset val="1"/>
      </rPr>
      <t xml:space="preserve">نوع التشغيل </t>
    </r>
    <r>
      <rPr>
        <b/>
        <sz val="10"/>
        <color rgb="FFFFFFFF"/>
        <rFont val="Calibri"/>
        <charset val="1"/>
      </rPr>
      <t>(Run Type)</t>
    </r>
  </si>
  <si>
    <r>
      <rPr>
        <b/>
        <sz val="10"/>
        <color rgb="FFFFFFFF"/>
        <rFont val="Noto Sans"/>
        <family val="2"/>
        <charset val="1"/>
      </rPr>
      <t xml:space="preserve">أيام التشغيل </t>
    </r>
    <r>
      <rPr>
        <b/>
        <sz val="10"/>
        <color rgb="FFFFFFFF"/>
        <rFont val="Calibri"/>
        <charset val="1"/>
      </rPr>
      <t>(Stock Days)</t>
    </r>
  </si>
  <si>
    <t>L-02</t>
  </si>
  <si>
    <t>KTS 250</t>
  </si>
  <si>
    <t>Running</t>
  </si>
  <si>
    <t>254</t>
  </si>
  <si>
    <t>MANARCO PVC-U PIPE 63X3.0mm PN-10 SASO-ISO-1452-2 W/P</t>
  </si>
  <si>
    <t>In production</t>
  </si>
  <si>
    <t>Primary match</t>
  </si>
  <si>
    <t>Order</t>
  </si>
  <si>
    <t>L-03</t>
  </si>
  <si>
    <t>KTS 700</t>
  </si>
  <si>
    <t>246</t>
  </si>
  <si>
    <t>MANARCO PVC-U PIPE 200X9.6mm PN-12.5 SASO-ISO-1452-2 W/P</t>
  </si>
  <si>
    <t>L-04</t>
  </si>
  <si>
    <t>KTS 200</t>
  </si>
  <si>
    <t>Idle</t>
  </si>
  <si>
    <t>Available for scheduling</t>
  </si>
  <si>
    <t>L-05</t>
  </si>
  <si>
    <t>KTS 350</t>
  </si>
  <si>
    <t>1291</t>
  </si>
  <si>
    <t>MANARCO UPVC PIPE 3" DWV SCH 40 ASTM D-2665 PVC 1120</t>
  </si>
  <si>
    <t>L-06</t>
  </si>
  <si>
    <t>Kabra 90</t>
  </si>
  <si>
    <t>L-07</t>
  </si>
  <si>
    <t>KTS 170</t>
  </si>
  <si>
    <t>L-08</t>
  </si>
  <si>
    <t>KTS 350 TDH</t>
  </si>
  <si>
    <t>251</t>
  </si>
  <si>
    <t>MANARCO PVC-U PIPE 110X4.2mm PN-10 SASO-ISO 1452-2 W/P</t>
  </si>
  <si>
    <r>
      <rPr>
        <b/>
        <sz val="10"/>
        <color rgb="FFFFFFFF"/>
        <rFont val="Noto Sans"/>
        <family val="2"/>
        <charset val="1"/>
      </rPr>
      <t xml:space="preserve">كود الصنف </t>
    </r>
    <r>
      <rPr>
        <b/>
        <sz val="10"/>
        <color rgb="FFFFFFFF"/>
        <rFont val="Calibri"/>
        <charset val="1"/>
      </rPr>
      <t>(Code)</t>
    </r>
  </si>
  <si>
    <r>
      <rPr>
        <b/>
        <sz val="10"/>
        <color rgb="FFFFFFFF"/>
        <rFont val="Noto Sans"/>
        <family val="2"/>
        <charset val="1"/>
      </rPr>
      <t xml:space="preserve">الكمية المطلوبة </t>
    </r>
    <r>
      <rPr>
        <b/>
        <sz val="10"/>
        <color rgb="FFFFFFFF"/>
        <rFont val="Calibri"/>
        <charset val="1"/>
      </rPr>
      <t>(Required Quantity)</t>
    </r>
  </si>
  <si>
    <r>
      <rPr>
        <b/>
        <sz val="10"/>
        <color rgb="FFFFFFFF"/>
        <rFont val="Noto Sans"/>
        <family val="2"/>
        <charset val="1"/>
      </rPr>
      <t xml:space="preserve">اسم العميل </t>
    </r>
    <r>
      <rPr>
        <b/>
        <sz val="10"/>
        <color rgb="FFFFFFFF"/>
        <rFont val="Calibri"/>
        <charset val="1"/>
      </rPr>
      <t xml:space="preserve">/ </t>
    </r>
    <r>
      <rPr>
        <b/>
        <sz val="10"/>
        <color rgb="FFFFFFFF"/>
        <rFont val="Noto Sans"/>
        <family val="2"/>
        <charset val="1"/>
      </rPr>
      <t xml:space="preserve">المشروع </t>
    </r>
    <r>
      <rPr>
        <b/>
        <sz val="10"/>
        <color rgb="FFFFFFFF"/>
        <rFont val="Calibri"/>
        <charset val="1"/>
      </rPr>
      <t>(Customer Name)</t>
    </r>
  </si>
  <si>
    <r>
      <rPr>
        <b/>
        <sz val="10"/>
        <color rgb="FFFFFFFF"/>
        <rFont val="Noto Sans"/>
        <family val="2"/>
        <charset val="1"/>
      </rPr>
      <t xml:space="preserve">وصف الصنف </t>
    </r>
    <r>
      <rPr>
        <b/>
        <sz val="10"/>
        <color rgb="FFFFFFFF"/>
        <rFont val="Calibri"/>
        <charset val="1"/>
      </rPr>
      <t>(Description)</t>
    </r>
  </si>
  <si>
    <r>
      <rPr>
        <b/>
        <sz val="10"/>
        <color rgb="FFFFFFFF"/>
        <rFont val="Noto Sans"/>
        <family val="2"/>
        <charset val="1"/>
      </rPr>
      <t xml:space="preserve">الماكينة المرشحة </t>
    </r>
    <r>
      <rPr>
        <b/>
        <sz val="10"/>
        <color rgb="FFFFFFFF"/>
        <rFont val="Calibri"/>
        <charset val="1"/>
      </rPr>
      <t>(Recommended Machine)</t>
    </r>
  </si>
  <si>
    <r>
      <rPr>
        <b/>
        <sz val="10"/>
        <color rgb="FFFFFFFF"/>
        <rFont val="Noto Sans"/>
        <family val="2"/>
        <charset val="1"/>
      </rPr>
      <t xml:space="preserve">الخط المرشح </t>
    </r>
    <r>
      <rPr>
        <b/>
        <sz val="10"/>
        <color rgb="FFFFFFFF"/>
        <rFont val="Calibri"/>
        <charset val="1"/>
      </rPr>
      <t>(Recommended Line ID)</t>
    </r>
  </si>
  <si>
    <r>
      <rPr>
        <b/>
        <sz val="10"/>
        <color rgb="FFFFFFFF"/>
        <rFont val="Noto Sans"/>
        <family val="2"/>
        <charset val="1"/>
      </rPr>
      <t xml:space="preserve">معدل تقديري للمقاس </t>
    </r>
    <r>
      <rPr>
        <b/>
        <sz val="10"/>
        <color rgb="FFFFFFFF"/>
        <rFont val="Calibri"/>
        <charset val="1"/>
      </rPr>
      <t>kg/h (Estimated Output for Size)</t>
    </r>
  </si>
  <si>
    <r>
      <rPr>
        <b/>
        <sz val="10"/>
        <color rgb="FFFFFFFF"/>
        <rFont val="Noto Sans"/>
        <family val="2"/>
        <charset val="1"/>
      </rPr>
      <t xml:space="preserve">درجة الثقة </t>
    </r>
    <r>
      <rPr>
        <b/>
        <sz val="10"/>
        <color rgb="FFFFFFFF"/>
        <rFont val="Calibri"/>
        <charset val="1"/>
      </rPr>
      <t>(Recommendation Confidence)</t>
    </r>
  </si>
  <si>
    <r>
      <rPr>
        <b/>
        <sz val="10"/>
        <color rgb="FFFFFFFF"/>
        <rFont val="Noto Sans"/>
        <family val="2"/>
        <charset val="1"/>
      </rPr>
      <t xml:space="preserve">نوع الطلب </t>
    </r>
    <r>
      <rPr>
        <b/>
        <sz val="10"/>
        <color rgb="FFFFFFFF"/>
        <rFont val="Calibri"/>
        <charset val="1"/>
      </rPr>
      <t>(Order Type)</t>
    </r>
  </si>
  <si>
    <t>500</t>
  </si>
  <si>
    <t>BLACK MANARCO ELECTRICAL UPVC PIPE CONDUICT 20X1.6mm BSEN 61386 PART-1 -</t>
  </si>
  <si>
    <t>Estimated — no new KTS 250 history</t>
  </si>
  <si>
    <t>Stock</t>
  </si>
  <si>
    <t>549-B</t>
  </si>
  <si>
    <t>MANARCO ELECTRICAL UPVC CONDUICT HG 25X1.9MM</t>
  </si>
  <si>
    <t>712</t>
  </si>
  <si>
    <t>UPVC PIPE MPF DAMMAM SCH.80 3/4" 5.5MTR</t>
  </si>
  <si>
    <t>Estimated — similar actual sizes</t>
  </si>
  <si>
    <t>197</t>
  </si>
  <si>
    <t>MANARCO UPVC PIPE 1'' SCH.40 ASTM D-1785  PVC 1120</t>
  </si>
  <si>
    <t>Medium — limited actual run</t>
  </si>
  <si>
    <t>12.68</t>
  </si>
  <si>
    <t>MANARCO PVC-U PIPE 63X2.0 mm PN-6 SASO-ISO 1452-2 W/P</t>
  </si>
  <si>
    <t>684</t>
  </si>
  <si>
    <t>UPVC PIPE M.T.M AKSO DAMMAM PIPES SIZE 1'' SCH.80 ASTM-D 1785 1120  -RED L</t>
  </si>
  <si>
    <t>Medium — current running line</t>
  </si>
  <si>
    <t>307</t>
  </si>
  <si>
    <t>MANARCO UPVC PIPE 2" DWV SCH-40 ASTM D-2665 PVC 1120</t>
  </si>
  <si>
    <t>205</t>
  </si>
  <si>
    <t>UPVC PIPE MANARCO SCH.80 1 1/2"</t>
  </si>
  <si>
    <t>253</t>
  </si>
  <si>
    <t>MANARCO PVC-U PIPE 75X3.6 mmPN-10 SASO-ISO 1452-2 W/P</t>
  </si>
  <si>
    <t>High — actual line data</t>
  </si>
  <si>
    <t>204</t>
  </si>
  <si>
    <t>UPVC PIPE MANARCO  SIZE 2" SCH.80 STANDARD</t>
  </si>
  <si>
    <t>264</t>
  </si>
  <si>
    <t>MANARCO PVC-U PIPE 75X5.6mm PN-16 SASO-ISO-1452-2 W/P</t>
  </si>
  <si>
    <t>188</t>
  </si>
  <si>
    <t>MANARCO UPVC PIPE 3'' SDR26 ASTM D-2241 PVC 1120</t>
  </si>
  <si>
    <t>236</t>
  </si>
  <si>
    <t>MANARCO PVC-U PIPE 110X3.2mm PN-7.5 EN-1452-2 W/P</t>
  </si>
  <si>
    <t>760</t>
  </si>
  <si>
    <t>MANARCO UPVC PIPE  4'' SDR-26 ASTM D-3034 PVC 1120</t>
  </si>
  <si>
    <t>991</t>
  </si>
  <si>
    <t>MANARCO UPVC PIPE 4'' SDR-26 SCH 40 ASTM D-3034 PVC 1120</t>
  </si>
  <si>
    <t>249</t>
  </si>
  <si>
    <t>MANARCO uPVC PIPE 110X5.3MM CLASS-4 PN-10 DIN 8062 ISO-1452</t>
  </si>
  <si>
    <t>232</t>
  </si>
  <si>
    <t>MANARCO PVC-U PIPE 160MM PN-6 EN-1452 GRAY RUBER R/R</t>
  </si>
  <si>
    <t>375</t>
  </si>
  <si>
    <t>MANARCO PVC-U PIPE 160mm PN-6 EN-1452 SOLVANT</t>
  </si>
  <si>
    <t>249 WHITE</t>
  </si>
  <si>
    <t>MANARCO PVC-U PIPE 110X5.3mm PN-12.5 SASO-ISO 1452-2 W/P WHITE</t>
  </si>
  <si>
    <t>378</t>
  </si>
  <si>
    <t>MANARCO UPVC PIPE  4'' DWV SCH-40  ASTM D-2665 PVC1120</t>
  </si>
  <si>
    <t>259</t>
  </si>
  <si>
    <t>MANARCO PVC-U PIPE 160X11.8mm PN-20 SASO-ISO 1452-2  W/P( RUBBER)</t>
  </si>
  <si>
    <t>260</t>
  </si>
  <si>
    <t>MANARCO PVC-U PIPE 200X14.7mm PN-20 SASO-ISO 1452-2 W/P</t>
  </si>
  <si>
    <t>1201</t>
  </si>
  <si>
    <t>MANARCO PVC-U PIPE 315X15mm PN-12.5 SASO-ISO 1452-2 W/P</t>
  </si>
  <si>
    <t>Confirm — line/tooling required</t>
  </si>
  <si>
    <t>370</t>
  </si>
  <si>
    <t>MANARCO PVC-U PIPE 400X19.1 PN-12.5 SASO-ISO 1452-2 W/P</t>
  </si>
  <si>
    <r>
      <rPr>
        <b/>
        <sz val="10"/>
        <color rgb="FFFFFFFF"/>
        <rFont val="Noto Sans"/>
        <family val="2"/>
        <charset val="1"/>
      </rPr>
      <t xml:space="preserve">كود الصنف </t>
    </r>
    <r>
      <rPr>
        <b/>
        <sz val="10"/>
        <color rgb="FFFFFFFF"/>
        <rFont val="Calibri"/>
        <charset val="1"/>
      </rPr>
      <t>(Item Code)</t>
    </r>
  </si>
  <si>
    <r>
      <rPr>
        <b/>
        <sz val="10"/>
        <color rgb="FFFFFFFF"/>
        <rFont val="Noto Sans"/>
        <family val="2"/>
        <charset val="1"/>
      </rPr>
      <t xml:space="preserve">الخامة </t>
    </r>
    <r>
      <rPr>
        <b/>
        <sz val="10"/>
        <color rgb="FFFFFFFF"/>
        <rFont val="Calibri"/>
        <charset val="1"/>
      </rPr>
      <t>(Material Family)</t>
    </r>
  </si>
  <si>
    <r>
      <rPr>
        <b/>
        <sz val="10"/>
        <color rgb="FFFFFFFF"/>
        <rFont val="Noto Sans"/>
        <family val="2"/>
        <charset val="1"/>
      </rPr>
      <t xml:space="preserve">القطر التقديري </t>
    </r>
    <r>
      <rPr>
        <b/>
        <sz val="10"/>
        <color rgb="FFFFFFFF"/>
        <rFont val="Calibri"/>
        <charset val="1"/>
      </rPr>
      <t>mm (Estimated Diameter)</t>
    </r>
  </si>
  <si>
    <r>
      <rPr>
        <b/>
        <sz val="10"/>
        <color rgb="FFFFFFFF"/>
        <rFont val="Noto Sans"/>
        <family val="2"/>
        <charset val="1"/>
      </rPr>
      <t xml:space="preserve">سمك الجدار </t>
    </r>
    <r>
      <rPr>
        <b/>
        <sz val="10"/>
        <color rgb="FFFFFFFF"/>
        <rFont val="Calibri"/>
        <charset val="1"/>
      </rPr>
      <t>mm (Wall Thickness)</t>
    </r>
  </si>
  <si>
    <r>
      <rPr>
        <b/>
        <sz val="10"/>
        <color rgb="FFFFFFFF"/>
        <rFont val="Noto Sans"/>
        <family val="2"/>
        <charset val="1"/>
      </rPr>
      <t xml:space="preserve">وزن الوحدة </t>
    </r>
    <r>
      <rPr>
        <b/>
        <sz val="10"/>
        <color rgb="FFFFFFFF"/>
        <rFont val="Calibri"/>
        <charset val="1"/>
      </rPr>
      <t>kg/pc (Unit Weight)</t>
    </r>
  </si>
  <si>
    <r>
      <rPr>
        <b/>
        <sz val="10"/>
        <color rgb="FFFFFFFF"/>
        <rFont val="Noto Sans"/>
        <family val="2"/>
        <charset val="1"/>
      </rPr>
      <t xml:space="preserve">عدد أيام الإنتاج التاريخي </t>
    </r>
    <r>
      <rPr>
        <b/>
        <sz val="10"/>
        <color rgb="FFFFFFFF"/>
        <rFont val="Calibri"/>
        <charset val="1"/>
      </rPr>
      <t>(Historical Days)</t>
    </r>
  </si>
  <si>
    <r>
      <rPr>
        <b/>
        <sz val="10"/>
        <color rgb="FFFFFFFF"/>
        <rFont val="Noto Sans"/>
        <family val="2"/>
        <charset val="1"/>
      </rPr>
      <t xml:space="preserve">متوسط أفضل </t>
    </r>
    <r>
      <rPr>
        <b/>
        <sz val="10"/>
        <color rgb="FFFFFFFF"/>
        <rFont val="Calibri"/>
        <charset val="1"/>
      </rPr>
      <t xml:space="preserve">20 </t>
    </r>
    <r>
      <rPr>
        <b/>
        <sz val="10"/>
        <color rgb="FFFFFFFF"/>
        <rFont val="Noto Sans"/>
        <family val="2"/>
        <charset val="1"/>
      </rPr>
      <t xml:space="preserve">يوم </t>
    </r>
    <r>
      <rPr>
        <b/>
        <sz val="10"/>
        <color rgb="FFFFFFFF"/>
        <rFont val="Calibri"/>
        <charset val="1"/>
      </rPr>
      <t>pcs/day (Top-20 Daily Production)</t>
    </r>
  </si>
  <si>
    <r>
      <rPr>
        <b/>
        <sz val="10"/>
        <color rgb="FFFFFFFF"/>
        <rFont val="Noto Sans"/>
        <family val="2"/>
        <charset val="1"/>
      </rPr>
      <t xml:space="preserve">الإنتاج التاريخي </t>
    </r>
    <r>
      <rPr>
        <b/>
        <sz val="10"/>
        <color rgb="FFFFFFFF"/>
        <rFont val="Calibri"/>
        <charset val="1"/>
      </rPr>
      <t xml:space="preserve">kg/h - </t>
    </r>
    <r>
      <rPr>
        <b/>
        <sz val="10"/>
        <color rgb="FFFFFFFF"/>
        <rFont val="Noto Sans"/>
        <family val="2"/>
        <charset val="1"/>
      </rPr>
      <t xml:space="preserve">مستوى المصنع </t>
    </r>
    <r>
      <rPr>
        <b/>
        <sz val="10"/>
        <color rgb="FFFFFFFF"/>
        <rFont val="Calibri"/>
        <charset val="1"/>
      </rPr>
      <t>(Historical Plant kg/h)</t>
    </r>
  </si>
  <si>
    <r>
      <rPr>
        <b/>
        <sz val="10"/>
        <color rgb="FFFFFFFF"/>
        <rFont val="Noto Sans"/>
        <family val="2"/>
        <charset val="1"/>
      </rPr>
      <t xml:space="preserve">فئة المقاس </t>
    </r>
    <r>
      <rPr>
        <b/>
        <sz val="10"/>
        <color rgb="FFFFFFFF"/>
        <rFont val="Calibri"/>
        <charset val="1"/>
      </rPr>
      <t>(Size Band)</t>
    </r>
  </si>
  <si>
    <r>
      <rPr>
        <b/>
        <sz val="10"/>
        <color rgb="FFFFFFFF"/>
        <rFont val="Noto Sans"/>
        <family val="2"/>
        <charset val="1"/>
      </rPr>
      <t xml:space="preserve">الماكينة الأساسية </t>
    </r>
    <r>
      <rPr>
        <b/>
        <sz val="10"/>
        <color rgb="FFFFFFFF"/>
        <rFont val="Calibri"/>
        <charset val="1"/>
      </rPr>
      <t>(Primary Machine)</t>
    </r>
  </si>
  <si>
    <r>
      <rPr>
        <b/>
        <sz val="10"/>
        <color rgb="FFFFFFFF"/>
        <rFont val="Noto Sans"/>
        <family val="2"/>
        <charset val="1"/>
      </rPr>
      <t xml:space="preserve">الخط الأساسي </t>
    </r>
    <r>
      <rPr>
        <b/>
        <sz val="10"/>
        <color rgb="FFFFFFFF"/>
        <rFont val="Calibri"/>
        <charset val="1"/>
      </rPr>
      <t>(Primary Line ID)</t>
    </r>
  </si>
  <si>
    <r>
      <rPr>
        <b/>
        <sz val="10"/>
        <color rgb="FFFFFFFF"/>
        <rFont val="Noto Sans"/>
        <family val="2"/>
        <charset val="1"/>
      </rPr>
      <t xml:space="preserve">معدل تقديري على المقاس </t>
    </r>
    <r>
      <rPr>
        <b/>
        <sz val="10"/>
        <color rgb="FFFFFFFF"/>
        <rFont val="Calibri"/>
        <charset val="1"/>
      </rPr>
      <t>kg/h (Primary Est. kg/h)</t>
    </r>
  </si>
  <si>
    <r>
      <rPr>
        <b/>
        <sz val="10"/>
        <color rgb="FFFFFFFF"/>
        <rFont val="Noto Sans"/>
        <family val="2"/>
        <charset val="1"/>
      </rPr>
      <t xml:space="preserve">الماكينة البديلة </t>
    </r>
    <r>
      <rPr>
        <b/>
        <sz val="10"/>
        <color rgb="FFFFFFFF"/>
        <rFont val="Calibri"/>
        <charset val="1"/>
      </rPr>
      <t>1 (Alternative 1)</t>
    </r>
  </si>
  <si>
    <r>
      <rPr>
        <b/>
        <sz val="10"/>
        <color rgb="FFFFFFFF"/>
        <rFont val="Noto Sans"/>
        <family val="2"/>
        <charset val="1"/>
      </rPr>
      <t xml:space="preserve">خط البديل </t>
    </r>
    <r>
      <rPr>
        <b/>
        <sz val="10"/>
        <color rgb="FFFFFFFF"/>
        <rFont val="Calibri"/>
        <charset val="1"/>
      </rPr>
      <t>1 (Alt 1 Line ID)</t>
    </r>
  </si>
  <si>
    <r>
      <rPr>
        <b/>
        <sz val="10"/>
        <color rgb="FFFFFFFF"/>
        <rFont val="Noto Sans"/>
        <family val="2"/>
        <charset val="1"/>
      </rPr>
      <t xml:space="preserve">معدل البديل </t>
    </r>
    <r>
      <rPr>
        <b/>
        <sz val="10"/>
        <color rgb="FFFFFFFF"/>
        <rFont val="Calibri"/>
        <charset val="1"/>
      </rPr>
      <t>1 kg/h (Alt 1 Est.)</t>
    </r>
  </si>
  <si>
    <r>
      <rPr>
        <b/>
        <sz val="10"/>
        <color rgb="FFFFFFFF"/>
        <rFont val="Noto Sans"/>
        <family val="2"/>
        <charset val="1"/>
      </rPr>
      <t xml:space="preserve">الماكينة البديلة </t>
    </r>
    <r>
      <rPr>
        <b/>
        <sz val="10"/>
        <color rgb="FFFFFFFF"/>
        <rFont val="Calibri"/>
        <charset val="1"/>
      </rPr>
      <t>2 (Alternative 2)</t>
    </r>
  </si>
  <si>
    <r>
      <rPr>
        <b/>
        <sz val="10"/>
        <color rgb="FFFFFFFF"/>
        <rFont val="Noto Sans"/>
        <family val="2"/>
        <charset val="1"/>
      </rPr>
      <t xml:space="preserve">خط البديل </t>
    </r>
    <r>
      <rPr>
        <b/>
        <sz val="10"/>
        <color rgb="FFFFFFFF"/>
        <rFont val="Calibri"/>
        <charset val="1"/>
      </rPr>
      <t>2 (Alt 2 Line ID)</t>
    </r>
  </si>
  <si>
    <r>
      <rPr>
        <b/>
        <sz val="10"/>
        <color rgb="FFFFFFFF"/>
        <rFont val="Noto Sans"/>
        <family val="2"/>
        <charset val="1"/>
      </rPr>
      <t xml:space="preserve">معدل البديل </t>
    </r>
    <r>
      <rPr>
        <b/>
        <sz val="10"/>
        <color rgb="FFFFFFFF"/>
        <rFont val="Calibri"/>
        <charset val="1"/>
      </rPr>
      <t>2 kg/h (Alt 2 Est.)</t>
    </r>
  </si>
  <si>
    <r>
      <rPr>
        <b/>
        <sz val="10"/>
        <color rgb="FFFFFFFF"/>
        <rFont val="Noto Sans"/>
        <family val="2"/>
        <charset val="1"/>
      </rPr>
      <t xml:space="preserve">عدد الماكينات المرشحة </t>
    </r>
    <r>
      <rPr>
        <b/>
        <sz val="10"/>
        <color rgb="FFFFFFFF"/>
        <rFont val="Calibri"/>
        <charset val="1"/>
      </rPr>
      <t>(Eligible Machine Count)</t>
    </r>
  </si>
  <si>
    <r>
      <rPr>
        <b/>
        <sz val="10"/>
        <color rgb="FFFFFFFF"/>
        <rFont val="Noto Sans"/>
        <family val="2"/>
        <charset val="1"/>
      </rPr>
      <t xml:space="preserve">درجة الثقة </t>
    </r>
    <r>
      <rPr>
        <b/>
        <sz val="10"/>
        <color rgb="FFFFFFFF"/>
        <rFont val="Calibri"/>
        <charset val="1"/>
      </rPr>
      <t>(Confidence)</t>
    </r>
  </si>
  <si>
    <r>
      <rPr>
        <b/>
        <sz val="10"/>
        <color rgb="FFFFFFFF"/>
        <rFont val="Noto Sans"/>
        <family val="2"/>
        <charset val="1"/>
      </rPr>
      <t xml:space="preserve">ملاحظة هندسية </t>
    </r>
    <r>
      <rPr>
        <b/>
        <sz val="10"/>
        <color rgb="FFFFFFFF"/>
        <rFont val="Calibri"/>
        <charset val="1"/>
      </rPr>
      <t>(Engineering Note)</t>
    </r>
  </si>
  <si>
    <t>PVC-U / UPVC</t>
  </si>
  <si>
    <t>Small</t>
  </si>
  <si>
    <t>High (planning)</t>
  </si>
  <si>
    <t>Planning estimate only; historical output is plant-level and not machine-specific.</t>
  </si>
  <si>
    <t>500-B</t>
  </si>
  <si>
    <t>MANARCO ELECTRICAL UPVC CONDUICT MG 20X1.6mm</t>
  </si>
  <si>
    <t>Confirm</t>
  </si>
  <si>
    <t>Unit weight is missing in the raw factory file; rate relies more on size and machine class. Planning estimate only; historical output is plant-level and not machine-specific.</t>
  </si>
  <si>
    <t>794</t>
  </si>
  <si>
    <t>UPVC PIPE MPF DAMMAM SCH.80  1/2" SCH.80  5.5MTR</t>
  </si>
  <si>
    <t>Medium</t>
  </si>
  <si>
    <t>219</t>
  </si>
  <si>
    <t>M.P.F DAMMAM SCH.80 NSW-FW 1/2" 690 PSI WP[73F CPVC PIPE 4120 ASTM F441 URCO99</t>
  </si>
  <si>
    <t>CPVC</t>
  </si>
  <si>
    <t>CPVC: confirm process window and tooling before scheduling. Planning estimate only; historical output is plant-level and not machine-specific.</t>
  </si>
  <si>
    <t>549</t>
  </si>
  <si>
    <t>MANARCO ELECTRICAL UPVC PIPE CONDUICT 25X1.9mm BSEN 61386 PART-1 -</t>
  </si>
  <si>
    <t>258</t>
  </si>
  <si>
    <t>MANARCO PVC-U PIPE 25X1.5mm PN-12.5 SASO-ISO 1452-2 W/P</t>
  </si>
  <si>
    <t>269</t>
  </si>
  <si>
    <t>MANARCO PVC-U PIPE 25X1.9mm PN-16 SASO-ISO 1452-2 W/P</t>
  </si>
  <si>
    <t>198</t>
  </si>
  <si>
    <t>MANARCO PVC-U PIPE  3/4'' SDR 13.5 ASTM D-2241 PVC 1120 WHITE</t>
  </si>
  <si>
    <t>716</t>
  </si>
  <si>
    <t>UPVC PIPE M.P.F DAMMAM-2 SCH.80  3/4"</t>
  </si>
  <si>
    <t>448-B</t>
  </si>
  <si>
    <t>MANARCO ELECTRICAL UPVC CONDUICT MG 32X2.1MM</t>
  </si>
  <si>
    <t>257</t>
  </si>
  <si>
    <t>MANARCO PVC-U PIPE 32X1.6 mmPN-10 SASO-ISO 1452-2 W/P</t>
  </si>
  <si>
    <t>268</t>
  </si>
  <si>
    <t>MANARCO PVC-U PIPE 32X2.4mm PN-16 SASO-ISO 1452-2 W/P</t>
  </si>
  <si>
    <t>927</t>
  </si>
  <si>
    <t>UPVC PIPE M.P.F DAMMAM SIZE 1" SCH.80  REDLINE</t>
  </si>
  <si>
    <t>194</t>
  </si>
  <si>
    <t>MANARCO UPVC PIPE 11/2" SDR21 ASTM D-2241 PVC 1120 {SCH40}</t>
  </si>
  <si>
    <t>215</t>
  </si>
  <si>
    <t>UPVC PIPE M.P.F DAMMAM SCH.80  1 1/2" REDLINE</t>
  </si>
  <si>
    <t>527</t>
  </si>
  <si>
    <t>PVC PIPE 3MTR BLACK 50MM</t>
  </si>
  <si>
    <t>243</t>
  </si>
  <si>
    <t>MANARCO PVC-U PIPE 50X1.6mm PN-6 SASO-ISO-1452-2 W/P</t>
  </si>
  <si>
    <t>255</t>
  </si>
  <si>
    <t>MANARCO PVC-U PIPE 50X2.4 mmPN-10 SASO-ISO 1452-2 W/P</t>
  </si>
  <si>
    <t>266</t>
  </si>
  <si>
    <t>MANARCO PVC-U PIPE 50X3.7mm PN-16 SASO-ISO-1452-2 W/P</t>
  </si>
  <si>
    <t>527-B</t>
  </si>
  <si>
    <t>MANARCO ELECTRICAL UPVC CONDUIT HG 50*3.2MM</t>
  </si>
  <si>
    <t>190</t>
  </si>
  <si>
    <t>MANARCO UPVC PIPE  2'' SDR-26 ASTM D-2241 PVC 1120</t>
  </si>
  <si>
    <t>715</t>
  </si>
  <si>
    <t>UPVC PIPE M.P.F DAMMAM SIZE 2" SCH80  REDLINE</t>
  </si>
  <si>
    <t>1619</t>
  </si>
  <si>
    <t>MANARCO U-PVC PIPE 2’’ SCH-40 ASTM D-1785 PVC 1120</t>
  </si>
  <si>
    <t>265</t>
  </si>
  <si>
    <t>MANARCO PVC-U PIPE 63X4.7mm PN-16 SASO-ISO 1452-2 W/P</t>
  </si>
  <si>
    <t>195</t>
  </si>
  <si>
    <t>MANARCO PVC-U PIPE 75X2.2mm PN-6 EN 1452</t>
  </si>
  <si>
    <t>213</t>
  </si>
  <si>
    <t>3'' SCH80 CPVC PIPE 4120 ASTM STD F441 470 PSI FOR WATER TEMPERATURE AT 73.4°F USA STD ZENITH</t>
  </si>
  <si>
    <t>1617</t>
  </si>
  <si>
    <t>MANARCO U-PVC PIPE 3’’ SCH-40 ASTM D-1785 PVC 1120</t>
  </si>
  <si>
    <t>239</t>
  </si>
  <si>
    <t>MANARCO PVC-U PIPE 90X2.7mm PN-6 SASO-ISO 1452-2 W/P</t>
  </si>
  <si>
    <t>263</t>
  </si>
  <si>
    <t>MANARCO PVC-U PIPE 90X6.7mm PN-16 SASO-ISO 1452-2 W/P</t>
  </si>
  <si>
    <t>308</t>
  </si>
  <si>
    <t>MANARCO PVC-U PIPE 110mm PN-10 EN-1452 SOLVANT COPLING WHITE</t>
  </si>
  <si>
    <t>262</t>
  </si>
  <si>
    <t>MANARCO PVC-U PIPE 110X8.1mm PN-20 SASO-ISO-1452-2 W/P</t>
  </si>
  <si>
    <t>262 R</t>
  </si>
  <si>
    <t>MANARCO PVC-U PIPE 110X8.1mm PN-20 SASO-ISO-1452-2 W/P -R</t>
  </si>
  <si>
    <t>212</t>
  </si>
  <si>
    <t>4'' SCH80 CPVC PIPE 4120 ASTM STD F441 470 PSI FOR WATER TEMPERATURE AT 73.4°F USA STD ZENITH</t>
  </si>
  <si>
    <t>1618</t>
  </si>
  <si>
    <t>MANARCO U-PVC PIPE 4’’ SCH-40 ASTM D-1785 PVC 1120</t>
  </si>
  <si>
    <t>Big</t>
  </si>
  <si>
    <t>513</t>
  </si>
  <si>
    <t>MANARCO PVC-U PIPE 160MM PN-6 EN-1452 WHITE SOLVENT</t>
  </si>
  <si>
    <t>230</t>
  </si>
  <si>
    <t>PVC PIPE 160MM  EN1452 PN7.5 4.7MM GRAY R/R</t>
  </si>
  <si>
    <t>974</t>
  </si>
  <si>
    <t>MANARCO PVC-U PIPE 160X6.2mm PN-10 BSEN 1452 Upvc 1120 ( RUBBER RING)</t>
  </si>
  <si>
    <t>1271</t>
  </si>
  <si>
    <t>MANARCO PVC-U PIPE 160X6.2mm PN-10 BSEN 1452 Upvc 1120(SOLVENT)</t>
  </si>
  <si>
    <t>1595</t>
  </si>
  <si>
    <t>MANARCO UPVC PIPE 160mm CLASS-4 10 BAR DIN-8062 K.S.A SOLVENT</t>
  </si>
  <si>
    <t>247 R</t>
  </si>
  <si>
    <t>MANARCO UPVC PIPE 160mm CLASS-4 10 BAR DIN-8062 K.S.A R/R</t>
  </si>
  <si>
    <t>247 WHITE</t>
  </si>
  <si>
    <t>MANARCO UPVC PIPE 160mm CLASS-4 10 BAR DIN-8062 K.S.A WHITE</t>
  </si>
  <si>
    <t>261</t>
  </si>
  <si>
    <t>UPVC PIPE 160MM EN1452 PN20 11.8MM R/R</t>
  </si>
  <si>
    <t>1414</t>
  </si>
  <si>
    <t>uPVC PERFORATED PIPE 160MM SASO-ISO 1452-2 PN12.5   7.7MM R</t>
  </si>
  <si>
    <t>247</t>
  </si>
  <si>
    <t>MANARCO UPVC PIPE 160mm CLASS-4 10 BAR DIN-8062 K.S.A</t>
  </si>
  <si>
    <t>181</t>
  </si>
  <si>
    <t>MANARCO UPVC PIPE 6''X5.2mm SDR-32.5 ASTM-D 2241</t>
  </si>
  <si>
    <t>12</t>
  </si>
  <si>
    <t>MANARCO UPVC PIPE 6'' SCH40 DWV ASTM D-3034 PVC 1120</t>
  </si>
  <si>
    <t>227</t>
  </si>
  <si>
    <t>MANARCO PVC-U PIPE 200X6.2mm PN-8 SASO-ISO-1452-2 W/P</t>
  </si>
  <si>
    <t>220</t>
  </si>
  <si>
    <t>MANARCO PVC-U PIPE 250X18.6mm CLASS-5(16BAR) DIN 8061/8062 PVC1120</t>
  </si>
  <si>
    <t>Very Big</t>
  </si>
  <si>
    <t>Confirm die, calibration, cooling and haul-off setup before scheduling this diameter. Planning estimate only; historical output is plant-level and not machine-specific.</t>
  </si>
  <si>
    <r>
      <rPr>
        <b/>
        <sz val="10"/>
        <color rgb="FFFFFFFF"/>
        <rFont val="Noto Sans"/>
        <family val="2"/>
        <charset val="1"/>
      </rPr>
      <t xml:space="preserve">الخط </t>
    </r>
    <r>
      <rPr>
        <b/>
        <sz val="10"/>
        <color rgb="FFFFFFFF"/>
        <rFont val="Calibri"/>
        <charset val="1"/>
      </rPr>
      <t>(Line ID)</t>
    </r>
  </si>
  <si>
    <r>
      <rPr>
        <b/>
        <sz val="10"/>
        <color rgb="FFFFFFFF"/>
        <rFont val="Noto Sans"/>
        <family val="2"/>
        <charset val="1"/>
      </rPr>
      <t xml:space="preserve">القدرة الاسمية </t>
    </r>
    <r>
      <rPr>
        <b/>
        <sz val="10"/>
        <color rgb="FFFFFFFF"/>
        <rFont val="Calibri"/>
        <charset val="1"/>
      </rPr>
      <t>kg/h (Nominal Capacity)</t>
    </r>
  </si>
  <si>
    <r>
      <rPr>
        <b/>
        <sz val="10"/>
        <color rgb="FFFFFFFF"/>
        <rFont val="Noto Sans"/>
        <family val="2"/>
        <charset val="1"/>
      </rPr>
      <t xml:space="preserve">التصنيف </t>
    </r>
    <r>
      <rPr>
        <b/>
        <sz val="10"/>
        <color rgb="FFFFFFFF"/>
        <rFont val="Calibri"/>
        <charset val="1"/>
      </rPr>
      <t>(Machine Size Class)</t>
    </r>
  </si>
  <si>
    <r>
      <rPr>
        <b/>
        <sz val="10"/>
        <color rgb="FFFFFFFF"/>
        <rFont val="Noto Sans"/>
        <family val="2"/>
        <charset val="1"/>
      </rPr>
      <t xml:space="preserve">نوع الرأس </t>
    </r>
    <r>
      <rPr>
        <b/>
        <sz val="10"/>
        <color rgb="FFFFFFFF"/>
        <rFont val="Calibri"/>
        <charset val="1"/>
      </rPr>
      <t>(Head)</t>
    </r>
  </si>
  <si>
    <r>
      <rPr>
        <b/>
        <sz val="10"/>
        <color rgb="FFFFFFFF"/>
        <rFont val="Noto Sans"/>
        <family val="2"/>
        <charset val="1"/>
      </rPr>
      <t xml:space="preserve">الحالة الحالية </t>
    </r>
    <r>
      <rPr>
        <b/>
        <sz val="10"/>
        <color rgb="FFFFFFFF"/>
        <rFont val="Calibri"/>
        <charset val="1"/>
      </rPr>
      <t>(Current Status)</t>
    </r>
  </si>
  <si>
    <r>
      <rPr>
        <b/>
        <sz val="10"/>
        <color rgb="FFFFFFFF"/>
        <rFont val="Noto Sans"/>
        <family val="2"/>
        <charset val="1"/>
      </rPr>
      <t xml:space="preserve">الصنف الحالي </t>
    </r>
    <r>
      <rPr>
        <b/>
        <sz val="10"/>
        <color rgb="FFFFFFFF"/>
        <rFont val="Calibri"/>
        <charset val="1"/>
      </rPr>
      <t>(Active Item Code)</t>
    </r>
  </si>
  <si>
    <r>
      <rPr>
        <b/>
        <sz val="10"/>
        <color rgb="FFFFFFFF"/>
        <rFont val="Noto Sans"/>
        <family val="2"/>
        <charset val="1"/>
      </rPr>
      <t xml:space="preserve">دليل التخطيط للمقاسات </t>
    </r>
    <r>
      <rPr>
        <b/>
        <sz val="10"/>
        <color rgb="FFFFFFFF"/>
        <rFont val="Calibri"/>
        <charset val="1"/>
      </rPr>
      <t>(Planning Size Guide)</t>
    </r>
  </si>
  <si>
    <r>
      <rPr>
        <b/>
        <sz val="10"/>
        <color rgb="FFFFFFFF"/>
        <rFont val="Noto Sans"/>
        <family val="2"/>
        <charset val="1"/>
      </rPr>
      <t xml:space="preserve">ملاحظات </t>
    </r>
    <r>
      <rPr>
        <b/>
        <sz val="10"/>
        <color rgb="FFFFFFFF"/>
        <rFont val="Calibri"/>
        <charset val="1"/>
      </rPr>
      <t>(Notes)</t>
    </r>
  </si>
  <si>
    <t>L-01</t>
  </si>
  <si>
    <t>KTS 550</t>
  </si>
  <si>
    <t>KTS 250 TDH</t>
  </si>
  <si>
    <t>Twin die head</t>
  </si>
  <si>
    <t>20–63 mm; current evidence at 63 mm; no new historical records</t>
  </si>
  <si>
    <t>No records for this machine in the new line-based data. Recommendations remain provisional and use current-line evidence, nearby sizes, and nominal capacity.</t>
  </si>
  <si>
    <t>Unspecified</t>
  </si>
  <si>
    <t>160–400 mm; actual at 160 mm; 250/315/400 require tooling confirmation</t>
  </si>
  <si>
    <t>New line data: 5 records, 86 operating hours, 1 item codes. Size-specific rates use finished-good kg divided by operating hours.</t>
  </si>
  <si>
    <t>20–75 mm planning range; actual at 25–33 mm</t>
  </si>
  <si>
    <t>New line data: 9 records, 114 operating hours, 4 item codes. Size-specific rates use finished-good kg divided by operating hours.</t>
  </si>
  <si>
    <t>75–114 mm planning range; actual at 89–114 mm</t>
  </si>
  <si>
    <t>New line data: 9 records, 192 operating hours, 3 item codes. Size-specific rates use finished-good kg divided by operating hours.</t>
  </si>
  <si>
    <t>110–200 mm planning range; actual at 110–168 mm</t>
  </si>
  <si>
    <t>New line data: 10 records, 173 operating hours, 4 item codes. Size-specific rates use finished-good kg divided by operating hours.</t>
  </si>
  <si>
    <t>20–63 mm planning range; actual at 50–60 mm</t>
  </si>
  <si>
    <t>New line data: 5 records, 98 operating hours, 2 item codes. Size-specific rates use finished-good kg divided by operating hours.</t>
  </si>
  <si>
    <t>63–110 mm planning range; actual at 75 mm</t>
  </si>
  <si>
    <t>New line data: 5 records, 84 operating hours, 2 item codes. Size-specific rates use finished-good kg divided by operating hours.</t>
  </si>
  <si>
    <t>L-09</t>
  </si>
  <si>
    <t>Bausano</t>
  </si>
  <si>
    <t>Date</t>
  </si>
  <si>
    <t>Item Code</t>
  </si>
  <si>
    <t>Product Description &amp; Specs</t>
  </si>
  <si>
    <t>Machine</t>
  </si>
  <si>
    <t>Production Qty (FG)</t>
  </si>
  <si>
    <t>Unit Weight (kg)</t>
  </si>
  <si>
    <t>Total Weight (kg)</t>
  </si>
  <si>
    <t>Scrap / Rejection (kg)</t>
  </si>
  <si>
    <t>Operating Hours</t>
  </si>
  <si>
    <t>Reason of Stop</t>
  </si>
  <si>
    <t>2026-09-07</t>
  </si>
  <si>
    <t>uPVC PIPE 110x5.3 PN-12.5 SASO-ISO 1452-2</t>
  </si>
  <si>
    <t>KTS-350</t>
  </si>
  <si>
    <t>PVC 4" PIPE SDR 26 ASTMD 2241</t>
  </si>
  <si>
    <t>KABRA-90</t>
  </si>
  <si>
    <t>uPVC PIPE 75MM PN10X3.6MM SASO-ISO-1452-2</t>
  </si>
  <si>
    <t>KTS-350 TDH</t>
  </si>
  <si>
    <t>uPVC PIPE 50x2.4 PN-10 SASO-ISO 1452-2</t>
  </si>
  <si>
    <t>KTS-170</t>
  </si>
  <si>
    <t>PVC PIPE 3/4"SCH40</t>
  </si>
  <si>
    <t>KTS-200</t>
  </si>
  <si>
    <t>2026-09-08</t>
  </si>
  <si>
    <t>uPVC PIPE 75MM 2.2MM GRAY PN-6 EN 1452</t>
  </si>
  <si>
    <t>2026-09-09</t>
  </si>
  <si>
    <t>MANARCO PVC PIPE 3" SCH 40 ASTMD 1785</t>
  </si>
  <si>
    <t>2026-09-10</t>
  </si>
  <si>
    <t>uPVC PIPE 160MM SASO-ISO 1452-2 PN12.5 7.7MM R/R</t>
  </si>
  <si>
    <t>KTS-700</t>
  </si>
  <si>
    <t>PVC 1" PIPE SCH40 ASTMD 2241</t>
  </si>
  <si>
    <t>2026-09-12</t>
  </si>
  <si>
    <t>PVC PIPE 160MM EN1452 PN7.5 4.7MM GRAY R/R</t>
  </si>
  <si>
    <t>2026-09-13</t>
  </si>
  <si>
    <t>2026-09-14</t>
  </si>
  <si>
    <t>PVC PIPE 32MM SASO-ISO 1452-2 PN10 1.6MM</t>
  </si>
  <si>
    <t>1006</t>
  </si>
  <si>
    <t>PVC COMPOUND FOR INJECTION ORINGE</t>
  </si>
  <si>
    <t>KTS-550</t>
  </si>
  <si>
    <t>2026-09-15</t>
  </si>
  <si>
    <t>PVC PIPE 6" SDR26 SCH40</t>
  </si>
  <si>
    <t>PVC PIPE 25MM SASO-ISO 1452-2 PN12.5 1.5MM</t>
  </si>
  <si>
    <t>MANARCO PVC PIPE 2" SDR 26 ASTMD 2241</t>
  </si>
  <si>
    <t>2026-09-16</t>
  </si>
  <si>
    <t>Die Change</t>
  </si>
  <si>
    <t>Grand Total</t>
  </si>
  <si>
    <t>UPVC PIPE FACTORY - DAILY PRODUCTION REPORT</t>
  </si>
  <si>
    <t>Product Description / Size</t>
  </si>
  <si>
    <t>Color</t>
  </si>
  <si>
    <t>Formula Code</t>
  </si>
  <si>
    <t>Shift A (Pcs)</t>
  </si>
  <si>
    <t>Shift B (Pcs)</t>
  </si>
  <si>
    <t>Total Production (Pcs)</t>
  </si>
  <si>
    <t>Print Specification / Marking Text</t>
  </si>
  <si>
    <t>Machine(s)</t>
  </si>
  <si>
    <t>6" SCH 40 DWV 6MTR</t>
  </si>
  <si>
    <t>White</t>
  </si>
  <si>
    <t>KH-670</t>
  </si>
  <si>
    <t>6" SCH 40 DWV manarco W S/S 6MTR 30.5kg</t>
  </si>
  <si>
    <t>KABRA 90</t>
  </si>
  <si>
    <t>291</t>
  </si>
  <si>
    <t>4" SDR 26 SCH 40 6MTR</t>
  </si>
  <si>
    <t>4" SDR 26 SCH 40 manarco W S/S 6MTR 16kg</t>
  </si>
  <si>
    <t>25 x 1.5mm PN12.5 6MTR</t>
  </si>
  <si>
    <t>25 x 1.5mm PN12.5 manarco W 6MTR 1.1kg</t>
  </si>
  <si>
    <t>2" SDR 26 6MTR</t>
  </si>
  <si>
    <t>2" SDR 26 manarco W S/S 6MTR 5kg</t>
  </si>
  <si>
    <t>Total</t>
  </si>
  <si>
    <t>Note: Machine KTS 550 produced Orange IMD compounding material: 16-09-2026 (Shift A: 1,000 kg; Shift B: 4,000 kg) and 17-09-2026 (Shift A: 4,000 kg; Shift B: 4,000 kg), detailed in the Mixing Department sheet.</t>
  </si>
  <si>
    <t>UPVC MIXING DEPARTMENT - PRODUCTION &amp; RECIPES</t>
  </si>
  <si>
    <t>1. SUMMARY OF BATCHES PRODUCED (ملخص الخلطات المنتجة)</t>
  </si>
  <si>
    <t>Formula Code (رقم الخلطة)</t>
  </si>
  <si>
    <t>Product / Color (اللون / نوع الصنف)</t>
  </si>
  <si>
    <t>Base PVC per Batch (kg)</t>
  </si>
  <si>
    <t>Shift A Batches</t>
  </si>
  <si>
    <t>Shift B Batches</t>
  </si>
  <si>
    <t>Total Batches</t>
  </si>
  <si>
    <t>Total PVC Consumed (kg)</t>
  </si>
  <si>
    <t>KH-840</t>
  </si>
  <si>
    <t>Grey Pipe (رمادي)</t>
  </si>
  <si>
    <t>White Pipe (أبيض)</t>
  </si>
  <si>
    <t>KH-240</t>
  </si>
  <si>
    <t>Orange Fitting (برتقالي)</t>
  </si>
  <si>
    <t>2. RECIPE FORMULATIONS PER BATCH (تركيبات الخلطات لكل 1 باتش)</t>
  </si>
  <si>
    <t>Raw Material (المادة الخام)</t>
  </si>
  <si>
    <t>Grey Pipe (KH-840) [رمادي]</t>
  </si>
  <si>
    <t>White Pipe (KH-670) [أبيض]</t>
  </si>
  <si>
    <t>Orange Fitting (KH-240) [برتقالي]</t>
  </si>
  <si>
    <t>Unit (الوحدة)</t>
  </si>
  <si>
    <t>Shift A Mixing Crew</t>
  </si>
  <si>
    <t>Shift B Mixing Crew</t>
  </si>
  <si>
    <t>PVC Resin (PVC-67)</t>
  </si>
  <si>
    <t>kg</t>
  </si>
  <si>
    <t>Wakeel, Suzan, Abdul, Imran, Monirul</t>
  </si>
  <si>
    <t>Saddam, Kalam, Suzan, Bazmoh, Akram</t>
  </si>
  <si>
    <t>Calcium Carbonate (CaCO3)</t>
  </si>
  <si>
    <t>Stabilizer (Stab / Stab-1015)</t>
  </si>
  <si>
    <t>Titanium Dioxide (TiO2)</t>
  </si>
  <si>
    <t>-</t>
  </si>
  <si>
    <t>Processing Aid (LP-551)</t>
  </si>
  <si>
    <t>gm</t>
  </si>
  <si>
    <t>Lubricant / Internal (LS-61)</t>
  </si>
  <si>
    <t>Calcium Stearate</t>
  </si>
  <si>
    <t>External Lubricant (Finalux-G1)</t>
  </si>
  <si>
    <t>Processing Aid (Finalux-G322)</t>
  </si>
  <si>
    <t>PE Wax</t>
  </si>
  <si>
    <t>Impact Modifier</t>
  </si>
  <si>
    <t>Acid (Stearic Acid)</t>
  </si>
  <si>
    <t>Paraffin Wax</t>
  </si>
  <si>
    <t>Black Color</t>
  </si>
  <si>
    <t>Blue Color</t>
  </si>
  <si>
    <t>Red Color</t>
  </si>
  <si>
    <t>Yellow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</si>
</sst>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##"/>
    <numFmt numFmtId="165" formatCode="yyyy\-mm\-dd"/>
    <numFmt numFmtId="166" formatCode="dd\-mm\-yy"/>
    <numFmt numFmtId="167" formatCode="#,##0.0"/>
  </numFmts>
  <fonts count="27" x14ac:knownFonts="1">
    <font>
      <sz val="10"/>
      <name val="Arial"/>
      <family val="2"/>
    </font>
    <font>
      <sz val="11"/>
      <name val="Calibri"/>
      <charset val="1"/>
    </font>
    <font>
      <sz val="11"/>
      <color theme="1"/>
      <name val="Calibri"/>
      <charset val="1"/>
    </font>
    <font>
      <b/>
      <sz val="10"/>
      <color rgb="FFFFFFFF"/>
      <name val="Noto Sans"/>
      <family val="2"/>
      <charset val="1"/>
    </font>
    <font>
      <b/>
      <sz val="10"/>
      <color rgb="FFFFFFFF"/>
      <name val="Calibri"/>
      <charset val="1"/>
    </font>
    <font>
      <sz val="9"/>
      <color rgb="FF1F2937"/>
      <name val="Calibri"/>
      <charset val="1"/>
    </font>
    <font>
      <b/>
      <sz val="9"/>
      <color rgb="FF2E7D32"/>
      <name val="Calibri"/>
      <charset val="1"/>
    </font>
    <font>
      <b/>
      <sz val="9"/>
      <color rgb="FFFFFFFF"/>
      <name val="Calibri"/>
      <charset val="1"/>
    </font>
    <font>
      <sz val="9"/>
      <color rgb="FF6B5B00"/>
      <name val="Calibri"/>
      <charset val="1"/>
    </font>
    <font>
      <b/>
      <sz val="9"/>
      <color rgb="FF6B7280"/>
      <name val="Calibri"/>
      <charset val="1"/>
    </font>
    <font>
      <b/>
      <sz val="9"/>
      <color rgb="FF0F6B6D"/>
      <name val="Calibri"/>
      <charset val="1"/>
    </font>
    <font>
      <sz val="8"/>
      <color rgb="FF4B5563"/>
      <name val="Calibri"/>
      <charset val="1"/>
    </font>
    <font>
      <b/>
      <sz val="9"/>
      <color rgb="FFB3261E"/>
      <name val="Calibri"/>
      <charset val="1"/>
    </font>
    <font>
      <b/>
      <sz val="9"/>
      <color rgb="FFB7791F"/>
      <name val="Calibri"/>
      <charset val="1"/>
    </font>
    <font>
      <sz val="9"/>
      <name val="Calibri"/>
      <charset val="1"/>
    </font>
    <font>
      <b/>
      <sz val="9"/>
      <name val="Calibri"/>
      <charset val="1"/>
    </font>
    <font>
      <sz val="10"/>
      <color rgb="FF1E293B"/>
      <name val="Segoe UI"/>
      <charset val="1"/>
    </font>
    <font>
      <b/>
      <sz val="11"/>
      <color rgb="FF0F172A"/>
      <name val="Segoe UI"/>
      <charset val="1"/>
    </font>
    <font>
      <b/>
      <sz val="16"/>
      <color rgb="FFFFFFFF"/>
      <name val="Segoe UI"/>
      <charset val="1"/>
    </font>
    <font>
      <b/>
      <sz val="10"/>
      <color rgb="FFFFFFFF"/>
      <name val="Segoe UI"/>
      <charset val="1"/>
    </font>
    <font>
      <sz val="10"/>
      <name val="Segoe UI"/>
      <charset val="1"/>
    </font>
    <font>
      <sz val="10"/>
      <color rgb="FF000000"/>
      <name val="Segoe UI"/>
      <charset val="1"/>
    </font>
    <font>
      <b/>
      <sz val="11"/>
      <color rgb="FF1F4E79"/>
      <name val="Segoe UI"/>
      <charset val="1"/>
    </font>
    <font>
      <i/>
      <sz val="9"/>
      <color rgb="FF595959"/>
      <name val="Segoe UI"/>
      <charset val="1"/>
    </font>
    <font>
      <b/>
      <sz val="10"/>
      <color rgb="FF1F4E79"/>
      <name val="Segoe UI"/>
      <charset val="1"/>
    </font>
    <font>
      <sz val="9"/>
      <name val="Segoe UI"/>
      <charset val="1"/>
    </font>
    <font>
      <b/>
      <sz val="11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rgb="FF17324D"/>
        <bgColor rgb="FF1E293B"/>
      </patternFill>
    </fill>
    <fill>
      <patternFill patternType="solid">
        <fgColor rgb="FFF8FAFC"/>
        <bgColor rgb="FFF3F5F7"/>
      </patternFill>
    </fill>
    <fill>
      <patternFill patternType="solid">
        <fgColor rgb="FFEAF6EA"/>
        <bgColor rgb="FFE8F4F3"/>
      </patternFill>
    </fill>
    <fill>
      <patternFill patternType="solid">
        <fgColor rgb="FFE8F4F3"/>
        <bgColor rgb="FFEAF2F8"/>
      </patternFill>
    </fill>
    <fill>
      <patternFill patternType="solid">
        <fgColor rgb="FFFFF9E8"/>
        <bgColor rgb="FFFFF4D6"/>
      </patternFill>
    </fill>
    <fill>
      <patternFill patternType="solid">
        <fgColor rgb="FFF3F5F7"/>
        <bgColor rgb="FFF2F5F9"/>
      </patternFill>
    </fill>
    <fill>
      <patternFill patternType="solid">
        <fgColor rgb="FF2F5597"/>
        <bgColor rgb="FF1F4E79"/>
      </patternFill>
    </fill>
    <fill>
      <patternFill patternType="solid">
        <fgColor rgb="FF0F6B6D"/>
        <bgColor rgb="FF008080"/>
      </patternFill>
    </fill>
    <fill>
      <patternFill patternType="solid">
        <fgColor rgb="FFFFF2CC"/>
        <bgColor rgb="FFFFF4D6"/>
      </patternFill>
    </fill>
    <fill>
      <patternFill patternType="solid">
        <fgColor rgb="FFDDEBF7"/>
        <bgColor rgb="FFE2E8F0"/>
      </patternFill>
    </fill>
    <fill>
      <patternFill patternType="solid">
        <fgColor rgb="FFFBEAEA"/>
        <bgColor rgb="FFEEE7F8"/>
      </patternFill>
    </fill>
    <fill>
      <patternFill patternType="solid">
        <fgColor rgb="FFFFF4D6"/>
        <bgColor rgb="FFFFF2CC"/>
      </patternFill>
    </fill>
    <fill>
      <patternFill patternType="solid">
        <fgColor rgb="FFD9EAD3"/>
        <bgColor rgb="FFDCE6F1"/>
      </patternFill>
    </fill>
    <fill>
      <patternFill patternType="solid">
        <fgColor rgb="FFDCE6F1"/>
        <bgColor rgb="FFE2E8F0"/>
      </patternFill>
    </fill>
    <fill>
      <patternFill patternType="solid">
        <fgColor rgb="FFEAF2F8"/>
        <bgColor rgb="FFE8F4F3"/>
      </patternFill>
    </fill>
    <fill>
      <patternFill patternType="solid">
        <fgColor rgb="FFEEE7F8"/>
        <bgColor rgb="FFE2E8F0"/>
      </patternFill>
    </fill>
    <fill>
      <patternFill patternType="solid">
        <fgColor rgb="FFE2E8F0"/>
        <bgColor rgb="FFDCE6F1"/>
      </patternFill>
    </fill>
    <fill>
      <patternFill patternType="solid">
        <fgColor rgb="FF1F4E79"/>
        <bgColor rgb="FF2F5597"/>
      </patternFill>
    </fill>
    <fill>
      <patternFill patternType="solid">
        <fgColor rgb="FFFFFFFF"/>
        <bgColor rgb="FFF8FAFC"/>
      </patternFill>
    </fill>
    <fill>
      <patternFill patternType="solid">
        <fgColor rgb="FFF2F5F9"/>
        <bgColor rgb="FFF3F5F7"/>
      </patternFill>
    </fill>
    <fill>
      <patternFill patternType="solid">
        <fgColor rgb="FFD9E1F2"/>
        <bgColor rgb="FFDCE6F1"/>
      </patternFill>
    </fill>
  </fills>
  <borders count="20">
    <border>
      <left/>
      <right/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/>
      <bottom style="double">
        <color rgb="FF1F4E79"/>
      </bottom>
      <diagonal/>
    </border>
    <border>
      <left style="thin">
        <color theme="4" tint="0.39988402966399123"/>
      </left>
      <right/>
      <top/>
      <bottom style="thin">
        <color theme="4" tint="0.39988402966399123"/>
      </bottom>
      <diagonal/>
    </border>
    <border>
      <left style="thin">
        <color theme="4" tint="0.39988402966399123"/>
      </left>
      <right/>
      <top/>
      <bottom/>
      <diagonal/>
    </border>
    <border>
      <left/>
      <right style="thin">
        <color theme="4" tint="0.39988402966399123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31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vertical="center" wrapText="1"/>
    </xf>
    <xf numFmtId="2" fontId="5" fillId="3" borderId="0" xfId="1" applyNumberFormat="1" applyFont="1" applyFill="1" applyAlignment="1">
      <alignment horizontal="center" vertical="center" wrapText="1"/>
    </xf>
    <xf numFmtId="1" fontId="5" fillId="3" borderId="0" xfId="1" applyNumberFormat="1" applyFont="1" applyFill="1" applyAlignment="1">
      <alignment horizontal="center" vertical="center" wrapText="1"/>
    </xf>
    <xf numFmtId="1" fontId="5" fillId="5" borderId="0" xfId="1" applyNumberFormat="1" applyFont="1" applyFill="1" applyAlignment="1">
      <alignment horizontal="center" vertical="center" wrapText="1"/>
    </xf>
    <xf numFmtId="0" fontId="7" fillId="5" borderId="0" xfId="1" applyFont="1" applyFill="1" applyAlignment="1">
      <alignment horizontal="center"/>
    </xf>
    <xf numFmtId="164" fontId="8" fillId="6" borderId="0" xfId="1" applyNumberFormat="1" applyFont="1" applyFill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2" fontId="5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 wrapText="1"/>
    </xf>
    <xf numFmtId="0" fontId="9" fillId="7" borderId="0" xfId="1" applyFont="1" applyFill="1" applyAlignment="1">
      <alignment horizontal="center" vertical="center" wrapText="1"/>
    </xf>
    <xf numFmtId="0" fontId="1" fillId="0" borderId="0" xfId="1" applyAlignment="1">
      <alignment horizontal="left"/>
    </xf>
    <xf numFmtId="0" fontId="3" fillId="8" borderId="0" xfId="1" applyFont="1" applyFill="1" applyAlignment="1">
      <alignment horizontal="center" vertical="center" wrapText="1"/>
    </xf>
    <xf numFmtId="0" fontId="3" fillId="8" borderId="0" xfId="1" applyFont="1" applyFill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10" fillId="5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  <xf numFmtId="1" fontId="8" fillId="6" borderId="0" xfId="1" applyNumberFormat="1" applyFont="1" applyFill="1" applyAlignment="1">
      <alignment horizontal="center"/>
    </xf>
    <xf numFmtId="0" fontId="5" fillId="0" borderId="0" xfId="1" applyFont="1" applyAlignment="1">
      <alignment horizontal="left" vertical="center" wrapText="1"/>
    </xf>
    <xf numFmtId="0" fontId="3" fillId="9" borderId="0" xfId="1" applyFont="1" applyFill="1" applyAlignment="1">
      <alignment horizontal="center" vertical="center" wrapText="1"/>
    </xf>
    <xf numFmtId="0" fontId="6" fillId="10" borderId="0" xfId="1" applyFont="1" applyFill="1" applyAlignment="1">
      <alignment horizontal="center" vertical="center" wrapText="1"/>
    </xf>
    <xf numFmtId="0" fontId="5" fillId="10" borderId="0" xfId="1" applyFont="1" applyFill="1" applyAlignment="1">
      <alignment horizontal="center" vertical="center" wrapText="1"/>
    </xf>
    <xf numFmtId="1" fontId="6" fillId="10" borderId="0" xfId="1" applyNumberFormat="1" applyFont="1" applyFill="1" applyAlignment="1">
      <alignment horizontal="center" vertical="center" wrapText="1"/>
    </xf>
    <xf numFmtId="0" fontId="5" fillId="11" borderId="0" xfId="1" applyFont="1" applyFill="1" applyAlignment="1">
      <alignment horizontal="center" vertical="center" wrapText="1"/>
    </xf>
    <xf numFmtId="1" fontId="5" fillId="11" borderId="0" xfId="1" applyNumberFormat="1" applyFont="1" applyFill="1" applyAlignment="1">
      <alignment horizontal="center" vertical="center" wrapText="1"/>
    </xf>
    <xf numFmtId="1" fontId="5" fillId="10" borderId="0" xfId="1" applyNumberFormat="1" applyFont="1" applyFill="1" applyAlignment="1">
      <alignment horizontal="center" vertical="center" wrapText="1"/>
    </xf>
    <xf numFmtId="0" fontId="11" fillId="3" borderId="0" xfId="1" applyFont="1" applyFill="1" applyAlignment="1">
      <alignment vertical="center" wrapText="1"/>
    </xf>
    <xf numFmtId="0" fontId="12" fillId="12" borderId="0" xfId="1" applyFont="1" applyFill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13" fillId="13" borderId="0" xfId="1" applyFont="1" applyFill="1" applyAlignment="1">
      <alignment horizontal="center" vertical="center" wrapText="1"/>
    </xf>
    <xf numFmtId="0" fontId="6" fillId="14" borderId="0" xfId="1" applyFont="1" applyFill="1" applyAlignment="1">
      <alignment horizontal="center" vertical="center" wrapText="1"/>
    </xf>
    <xf numFmtId="0" fontId="5" fillId="14" borderId="0" xfId="1" applyFont="1" applyFill="1" applyAlignment="1">
      <alignment horizontal="center" vertical="center" wrapText="1"/>
    </xf>
    <xf numFmtId="1" fontId="6" fillId="14" borderId="0" xfId="1" applyNumberFormat="1" applyFont="1" applyFill="1" applyAlignment="1">
      <alignment horizontal="center" vertical="center" wrapText="1"/>
    </xf>
    <xf numFmtId="0" fontId="6" fillId="15" borderId="0" xfId="1" applyFont="1" applyFill="1" applyAlignment="1">
      <alignment horizontal="center" vertical="center" wrapText="1"/>
    </xf>
    <xf numFmtId="0" fontId="5" fillId="15" borderId="0" xfId="1" applyFont="1" applyFill="1" applyAlignment="1">
      <alignment horizontal="center" vertical="center" wrapText="1"/>
    </xf>
    <xf numFmtId="1" fontId="6" fillId="15" borderId="0" xfId="1" applyNumberFormat="1" applyFont="1" applyFill="1" applyAlignment="1">
      <alignment horizontal="center" vertical="center" wrapText="1"/>
    </xf>
    <xf numFmtId="1" fontId="5" fillId="14" borderId="0" xfId="1" applyNumberFormat="1" applyFont="1" applyFill="1" applyAlignment="1">
      <alignment horizontal="center" vertical="center" wrapText="1"/>
    </xf>
    <xf numFmtId="0" fontId="14" fillId="3" borderId="0" xfId="1" applyFont="1" applyFill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0" fontId="14" fillId="16" borderId="0" xfId="1" applyFont="1" applyFill="1" applyAlignment="1">
      <alignment horizontal="center" vertical="center" wrapText="1"/>
    </xf>
    <xf numFmtId="0" fontId="15" fillId="4" borderId="0" xfId="1" applyFont="1" applyFill="1" applyAlignment="1">
      <alignment horizontal="center" vertical="center" wrapText="1"/>
    </xf>
    <xf numFmtId="0" fontId="14" fillId="3" borderId="0" xfId="1" applyFont="1" applyFill="1" applyAlignment="1">
      <alignment vertical="center" wrapText="1"/>
    </xf>
    <xf numFmtId="0" fontId="14" fillId="0" borderId="0" xfId="1" applyFont="1" applyAlignment="1">
      <alignment horizontal="center" vertical="center" wrapText="1"/>
    </xf>
    <xf numFmtId="1" fontId="5" fillId="0" borderId="1" xfId="2" applyNumberFormat="1" applyFont="1" applyBorder="1" applyAlignment="1">
      <alignment horizontal="center" vertical="center" wrapText="1"/>
    </xf>
    <xf numFmtId="0" fontId="14" fillId="17" borderId="0" xfId="1" applyFont="1" applyFill="1" applyAlignment="1">
      <alignment horizontal="center" vertical="center" wrapText="1"/>
    </xf>
    <xf numFmtId="0" fontId="14" fillId="0" borderId="0" xfId="1" applyFont="1" applyAlignment="1">
      <alignment vertical="center" wrapText="1"/>
    </xf>
    <xf numFmtId="0" fontId="14" fillId="13" borderId="0" xfId="1" applyFont="1" applyFill="1" applyAlignment="1">
      <alignment horizontal="center" vertical="center" wrapText="1"/>
    </xf>
    <xf numFmtId="0" fontId="15" fillId="7" borderId="0" xfId="1" applyFont="1" applyFill="1" applyAlignment="1">
      <alignment horizontal="center" vertical="center" wrapText="1"/>
    </xf>
    <xf numFmtId="0" fontId="5" fillId="13" borderId="0" xfId="1" applyFont="1" applyFill="1" applyAlignment="1">
      <alignment horizontal="center" vertical="center" wrapText="1"/>
    </xf>
    <xf numFmtId="0" fontId="2" fillId="0" borderId="0" xfId="2" applyAlignment="1"/>
    <xf numFmtId="0" fontId="2" fillId="0" borderId="0" xfId="2" applyAlignment="1">
      <alignment horizontal="left"/>
    </xf>
    <xf numFmtId="165" fontId="16" fillId="0" borderId="5" xfId="2" applyNumberFormat="1" applyFont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0" fontId="16" fillId="0" borderId="6" xfId="2" applyFont="1" applyBorder="1" applyAlignment="1">
      <alignment horizontal="left" vertical="center"/>
    </xf>
    <xf numFmtId="3" fontId="16" fillId="0" borderId="6" xfId="2" applyNumberFormat="1" applyFont="1" applyBorder="1" applyAlignment="1">
      <alignment horizontal="center" vertical="center"/>
    </xf>
    <xf numFmtId="4" fontId="16" fillId="0" borderId="6" xfId="2" applyNumberFormat="1" applyFont="1" applyBorder="1" applyAlignment="1">
      <alignment horizontal="center" vertical="center"/>
    </xf>
    <xf numFmtId="3" fontId="16" fillId="0" borderId="7" xfId="2" applyNumberFormat="1" applyFont="1" applyBorder="1" applyAlignment="1">
      <alignment horizontal="center" vertical="center"/>
    </xf>
    <xf numFmtId="165" fontId="16" fillId="0" borderId="8" xfId="2" applyNumberFormat="1" applyFont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16" fillId="0" borderId="9" xfId="2" applyFont="1" applyBorder="1" applyAlignment="1">
      <alignment horizontal="left" vertical="center"/>
    </xf>
    <xf numFmtId="3" fontId="16" fillId="0" borderId="9" xfId="2" applyNumberFormat="1" applyFont="1" applyBorder="1" applyAlignment="1">
      <alignment horizontal="center" vertical="center"/>
    </xf>
    <xf numFmtId="4" fontId="16" fillId="0" borderId="9" xfId="2" applyNumberFormat="1" applyFont="1" applyBorder="1" applyAlignment="1">
      <alignment horizontal="center" vertical="center"/>
    </xf>
    <xf numFmtId="3" fontId="16" fillId="0" borderId="10" xfId="2" applyNumberFormat="1" applyFont="1" applyBorder="1" applyAlignment="1">
      <alignment horizontal="center" vertical="center"/>
    </xf>
    <xf numFmtId="0" fontId="17" fillId="18" borderId="11" xfId="2" applyFont="1" applyFill="1" applyBorder="1" applyAlignment="1">
      <alignment horizontal="center" vertical="center"/>
    </xf>
    <xf numFmtId="0" fontId="17" fillId="18" borderId="11" xfId="2" applyFont="1" applyFill="1" applyBorder="1" applyAlignment="1">
      <alignment horizontal="left" vertical="center"/>
    </xf>
    <xf numFmtId="3" fontId="1" fillId="18" borderId="11" xfId="2" applyNumberFormat="1" applyFont="1" applyFill="1" applyBorder="1" applyAlignment="1">
      <alignment horizontal="center" vertical="center"/>
    </xf>
    <xf numFmtId="4" fontId="1" fillId="18" borderId="11" xfId="2" applyNumberFormat="1" applyFont="1" applyFill="1" applyBorder="1" applyAlignment="1">
      <alignment horizontal="center" vertical="center"/>
    </xf>
    <xf numFmtId="3" fontId="17" fillId="18" borderId="11" xfId="2" applyNumberFormat="1" applyFont="1" applyFill="1" applyBorder="1" applyAlignment="1">
      <alignment horizontal="center" vertical="center"/>
    </xf>
    <xf numFmtId="0" fontId="2" fillId="0" borderId="0" xfId="3" applyAlignment="1"/>
    <xf numFmtId="0" fontId="19" fillId="19" borderId="12" xfId="3" applyFont="1" applyFill="1" applyBorder="1" applyAlignment="1">
      <alignment horizontal="center" vertical="center" wrapText="1"/>
    </xf>
    <xf numFmtId="0" fontId="19" fillId="19" borderId="0" xfId="3" applyFont="1" applyFill="1" applyAlignment="1">
      <alignment horizontal="center" vertical="center" wrapText="1"/>
    </xf>
    <xf numFmtId="166" fontId="20" fillId="20" borderId="13" xfId="1" applyNumberFormat="1" applyFont="1" applyFill="1" applyBorder="1" applyAlignment="1">
      <alignment horizontal="center" vertical="center"/>
    </xf>
    <xf numFmtId="0" fontId="20" fillId="20" borderId="13" xfId="3" applyFont="1" applyFill="1" applyBorder="1" applyAlignment="1">
      <alignment horizontal="center" vertical="center"/>
    </xf>
    <xf numFmtId="0" fontId="20" fillId="20" borderId="13" xfId="3" applyFont="1" applyFill="1" applyBorder="1" applyAlignment="1">
      <alignment horizontal="left" vertical="center"/>
    </xf>
    <xf numFmtId="167" fontId="20" fillId="20" borderId="13" xfId="3" applyNumberFormat="1" applyFont="1" applyFill="1" applyBorder="1" applyAlignment="1">
      <alignment horizontal="right" vertical="center"/>
    </xf>
    <xf numFmtId="3" fontId="20" fillId="20" borderId="13" xfId="3" applyNumberFormat="1" applyFont="1" applyFill="1" applyBorder="1" applyAlignment="1">
      <alignment horizontal="right" vertical="center"/>
    </xf>
    <xf numFmtId="166" fontId="20" fillId="21" borderId="13" xfId="1" applyNumberFormat="1" applyFont="1" applyFill="1" applyBorder="1" applyAlignment="1">
      <alignment horizontal="center" vertical="center"/>
    </xf>
    <xf numFmtId="0" fontId="20" fillId="21" borderId="13" xfId="3" applyFont="1" applyFill="1" applyBorder="1" applyAlignment="1">
      <alignment horizontal="center" vertical="center"/>
    </xf>
    <xf numFmtId="0" fontId="20" fillId="21" borderId="13" xfId="3" applyFont="1" applyFill="1" applyBorder="1" applyAlignment="1">
      <alignment horizontal="left" vertical="center"/>
    </xf>
    <xf numFmtId="167" fontId="20" fillId="21" borderId="13" xfId="3" applyNumberFormat="1" applyFont="1" applyFill="1" applyBorder="1" applyAlignment="1">
      <alignment horizontal="right" vertical="center"/>
    </xf>
    <xf numFmtId="3" fontId="20" fillId="21" borderId="13" xfId="3" applyNumberFormat="1" applyFont="1" applyFill="1" applyBorder="1" applyAlignment="1">
      <alignment horizontal="right" vertical="center"/>
    </xf>
    <xf numFmtId="166" fontId="20" fillId="20" borderId="14" xfId="1" applyNumberFormat="1" applyFont="1" applyFill="1" applyBorder="1" applyAlignment="1">
      <alignment horizontal="center" vertical="center"/>
    </xf>
    <xf numFmtId="0" fontId="20" fillId="21" borderId="14" xfId="3" applyFont="1" applyFill="1" applyBorder="1" applyAlignment="1">
      <alignment horizontal="center" vertical="center"/>
    </xf>
    <xf numFmtId="0" fontId="20" fillId="21" borderId="14" xfId="3" applyFont="1" applyFill="1" applyBorder="1" applyAlignment="1">
      <alignment horizontal="left" vertical="center"/>
    </xf>
    <xf numFmtId="167" fontId="20" fillId="21" borderId="14" xfId="3" applyNumberFormat="1" applyFont="1" applyFill="1" applyBorder="1" applyAlignment="1">
      <alignment horizontal="right" vertical="center"/>
    </xf>
    <xf numFmtId="3" fontId="20" fillId="21" borderId="14" xfId="3" applyNumberFormat="1" applyFont="1" applyFill="1" applyBorder="1" applyAlignment="1">
      <alignment horizontal="right" vertical="center"/>
    </xf>
    <xf numFmtId="166" fontId="21" fillId="20" borderId="13" xfId="1" applyNumberFormat="1" applyFont="1" applyFill="1" applyBorder="1" applyAlignment="1">
      <alignment horizontal="center" vertical="center"/>
    </xf>
    <xf numFmtId="0" fontId="21" fillId="20" borderId="13" xfId="1" applyFont="1" applyFill="1" applyBorder="1" applyAlignment="1">
      <alignment horizontal="center" vertical="center"/>
    </xf>
    <xf numFmtId="167" fontId="21" fillId="20" borderId="13" xfId="1" applyNumberFormat="1" applyFont="1" applyFill="1" applyBorder="1" applyAlignment="1">
      <alignment horizontal="right" vertical="center"/>
    </xf>
    <xf numFmtId="3" fontId="21" fillId="20" borderId="13" xfId="1" applyNumberFormat="1" applyFont="1" applyFill="1" applyBorder="1" applyAlignment="1">
      <alignment horizontal="right" vertical="center"/>
    </xf>
    <xf numFmtId="0" fontId="21" fillId="20" borderId="13" xfId="1" applyFont="1" applyFill="1" applyBorder="1" applyAlignment="1">
      <alignment horizontal="left" vertical="center"/>
    </xf>
    <xf numFmtId="166" fontId="21" fillId="21" borderId="13" xfId="1" applyNumberFormat="1" applyFont="1" applyFill="1" applyBorder="1" applyAlignment="1">
      <alignment horizontal="center" vertical="center"/>
    </xf>
    <xf numFmtId="0" fontId="21" fillId="21" borderId="13" xfId="1" applyFont="1" applyFill="1" applyBorder="1" applyAlignment="1">
      <alignment horizontal="center" vertical="center"/>
    </xf>
    <xf numFmtId="167" fontId="21" fillId="21" borderId="13" xfId="1" applyNumberFormat="1" applyFont="1" applyFill="1" applyBorder="1" applyAlignment="1">
      <alignment horizontal="right" vertical="center"/>
    </xf>
    <xf numFmtId="3" fontId="21" fillId="21" borderId="13" xfId="1" applyNumberFormat="1" applyFont="1" applyFill="1" applyBorder="1" applyAlignment="1">
      <alignment horizontal="right" vertical="center"/>
    </xf>
    <xf numFmtId="0" fontId="21" fillId="21" borderId="13" xfId="1" applyFont="1" applyFill="1" applyBorder="1" applyAlignment="1">
      <alignment horizontal="left" vertical="center"/>
    </xf>
    <xf numFmtId="3" fontId="22" fillId="22" borderId="15" xfId="1" applyNumberFormat="1" applyFont="1" applyFill="1" applyBorder="1" applyAlignment="1">
      <alignment horizontal="right" vertical="center"/>
    </xf>
    <xf numFmtId="167" fontId="22" fillId="22" borderId="15" xfId="1" applyNumberFormat="1" applyFont="1" applyFill="1" applyBorder="1" applyAlignment="1">
      <alignment horizontal="right" vertical="center"/>
    </xf>
    <xf numFmtId="0" fontId="22" fillId="22" borderId="0" xfId="1" applyFont="1" applyFill="1" applyBorder="1" applyAlignment="1">
      <alignment vertical="center"/>
    </xf>
    <xf numFmtId="0" fontId="19" fillId="19" borderId="16" xfId="3" applyFont="1" applyFill="1" applyBorder="1" applyAlignment="1">
      <alignment horizontal="center" vertical="center" wrapText="1"/>
    </xf>
    <xf numFmtId="0" fontId="19" fillId="19" borderId="17" xfId="3" applyFont="1" applyFill="1" applyBorder="1" applyAlignment="1">
      <alignment horizontal="center" vertical="center" wrapText="1"/>
    </xf>
    <xf numFmtId="0" fontId="19" fillId="19" borderId="0" xfId="3" applyFont="1" applyFill="1" applyBorder="1" applyAlignment="1">
      <alignment horizontal="center" vertical="center" wrapText="1"/>
    </xf>
    <xf numFmtId="0" fontId="19" fillId="19" borderId="18" xfId="3" applyFont="1" applyFill="1" applyBorder="1" applyAlignment="1">
      <alignment horizontal="center" vertical="center" wrapText="1"/>
    </xf>
    <xf numFmtId="0" fontId="20" fillId="20" borderId="19" xfId="3" applyFont="1" applyFill="1" applyBorder="1" applyAlignment="1">
      <alignment horizontal="center" vertical="center"/>
    </xf>
    <xf numFmtId="3" fontId="20" fillId="20" borderId="19" xfId="3" applyNumberFormat="1" applyFont="1" applyFill="1" applyBorder="1" applyAlignment="1">
      <alignment horizontal="right" vertical="center"/>
    </xf>
    <xf numFmtId="3" fontId="20" fillId="20" borderId="14" xfId="3" applyNumberFormat="1" applyFont="1" applyFill="1" applyBorder="1" applyAlignment="1">
      <alignment horizontal="right" vertical="center"/>
    </xf>
    <xf numFmtId="0" fontId="20" fillId="21" borderId="19" xfId="3" applyFont="1" applyFill="1" applyBorder="1" applyAlignment="1">
      <alignment horizontal="center" vertical="center"/>
    </xf>
    <xf numFmtId="3" fontId="20" fillId="21" borderId="19" xfId="3" applyNumberFormat="1" applyFont="1" applyFill="1" applyBorder="1" applyAlignment="1">
      <alignment horizontal="right" vertical="center"/>
    </xf>
    <xf numFmtId="3" fontId="21" fillId="21" borderId="13" xfId="1" applyNumberFormat="1" applyFont="1" applyFill="1" applyBorder="1" applyAlignment="1">
      <alignment horizontal="center" vertical="center"/>
    </xf>
    <xf numFmtId="3" fontId="21" fillId="20" borderId="13" xfId="1" applyNumberFormat="1" applyFont="1" applyFill="1" applyBorder="1" applyAlignment="1">
      <alignment horizontal="center" vertical="center"/>
    </xf>
    <xf numFmtId="3" fontId="24" fillId="22" borderId="15" xfId="1" applyNumberFormat="1" applyFont="1" applyFill="1" applyBorder="1" applyAlignment="1">
      <alignment horizontal="right" vertical="center"/>
    </xf>
    <xf numFmtId="0" fontId="19" fillId="19" borderId="13" xfId="1" applyFont="1" applyFill="1" applyBorder="1" applyAlignment="1">
      <alignment horizontal="center" vertical="center" wrapText="1"/>
    </xf>
    <xf numFmtId="0" fontId="25" fillId="20" borderId="13" xfId="3" applyFont="1" applyFill="1" applyBorder="1" applyAlignment="1">
      <alignment horizontal="left" vertical="center"/>
    </xf>
    <xf numFmtId="0" fontId="25" fillId="20" borderId="13" xfId="3" applyFont="1" applyFill="1" applyBorder="1" applyAlignment="1">
      <alignment horizontal="center" vertical="center"/>
    </xf>
    <xf numFmtId="0" fontId="25" fillId="21" borderId="13" xfId="3" applyFont="1" applyFill="1" applyBorder="1" applyAlignment="1">
      <alignment horizontal="left" vertical="center"/>
    </xf>
    <xf numFmtId="0" fontId="25" fillId="21" borderId="13" xfId="3" applyFont="1" applyFill="1" applyBorder="1" applyAlignment="1">
      <alignment horizontal="center" vertical="center"/>
    </xf>
    <xf numFmtId="0" fontId="26" fillId="0" borderId="2" xfId="2" applyFont="1" applyBorder="1" applyAlignment="1">
      <alignment horizontal="center" vertical="center" wrapText="1"/>
    </xf>
    <xf numFmtId="0" fontId="26" fillId="0" borderId="3" xfId="2" applyFont="1" applyBorder="1" applyAlignment="1">
      <alignment horizontal="center" vertical="center" wrapText="1"/>
    </xf>
    <xf numFmtId="0" fontId="26" fillId="0" borderId="3" xfId="2" applyFont="1" applyBorder="1" applyAlignment="1">
      <alignment horizontal="left" vertical="center" wrapText="1"/>
    </xf>
    <xf numFmtId="0" fontId="26" fillId="0" borderId="4" xfId="2" applyFont="1" applyBorder="1" applyAlignment="1">
      <alignment horizontal="center" vertical="center" wrapText="1"/>
    </xf>
    <xf numFmtId="0" fontId="18" fillId="19" borderId="0" xfId="3" applyFont="1" applyFill="1" applyBorder="1" applyAlignment="1">
      <alignment horizontal="center" vertical="center"/>
    </xf>
    <xf numFmtId="0" fontId="22" fillId="22" borderId="0" xfId="1" applyFont="1" applyFill="1" applyBorder="1" applyAlignment="1">
      <alignment horizontal="center" vertical="center"/>
    </xf>
    <xf numFmtId="0" fontId="23" fillId="20" borderId="0" xfId="1" applyFont="1" applyFill="1" applyBorder="1" applyAlignment="1">
      <alignment horizontal="left"/>
    </xf>
    <xf numFmtId="0" fontId="22" fillId="0" borderId="0" xfId="3" applyFont="1" applyBorder="1" applyAlignment="1">
      <alignment horizontal="left" vertical="center"/>
    </xf>
    <xf numFmtId="0" fontId="24" fillId="22" borderId="0" xfId="1" applyFont="1" applyFill="1" applyBorder="1" applyAlignment="1">
      <alignment horizontal="left" vertical="center"/>
    </xf>
    <xf numFmtId="0" fontId="22" fillId="20" borderId="13" xfId="1" applyFont="1" applyFill="1" applyBorder="1" applyAlignment="1">
      <alignment horizontal="left" vertical="center"/>
    </xf>
    <xf numFmtId="0" fontId="25" fillId="20" borderId="14" xfId="3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7000000}"/>
    <cellStyle name="Normal 3" xfId="3" xr:uid="{00000000-0005-0000-0000-000008000000}"/>
    <cellStyle name="Normal 4" xfId="1" xr:uid="{00000000-0005-0000-0000-000006000000}"/>
  </cellStyles>
  <dxfs count="5">
    <dxf>
      <font>
        <b/>
        <color rgb="FF9A6700"/>
      </font>
      <numFmt numFmtId="0" formatCode="General"/>
      <fill>
        <patternFill>
          <bgColor rgb="FFFFF4D6"/>
        </patternFill>
      </fill>
    </dxf>
    <dxf>
      <font>
        <b/>
        <color rgb="FF0F6B6D"/>
      </font>
      <numFmt numFmtId="0" formatCode="General"/>
    </dxf>
    <dxf>
      <font>
        <b/>
        <color rgb="FF9A6700"/>
      </font>
      <numFmt numFmtId="0" formatCode="General"/>
      <fill>
        <patternFill>
          <bgColor rgb="FFFFF4D6"/>
        </patternFill>
      </fill>
    </dxf>
    <dxf>
      <font>
        <b/>
        <color rgb="FF0F6B6D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Segoe UI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9E8"/>
      <rgbColor rgb="FFFF00FF"/>
      <rgbColor rgb="FF00FFFF"/>
      <rgbColor rgb="FF800000"/>
      <rgbColor rgb="FF008000"/>
      <rgbColor rgb="FF000080"/>
      <rgbColor rgb="FF9A6700"/>
      <rgbColor rgb="FF800080"/>
      <rgbColor rgb="FF0F6B6D"/>
      <rgbColor rgb="FFD9D9D9"/>
      <rgbColor rgb="FF595959"/>
      <rgbColor rgb="FFE2E8F0"/>
      <rgbColor rgb="FF4B5563"/>
      <rgbColor rgb="FFFFF4D6"/>
      <rgbColor rgb="FFE8F4F3"/>
      <rgbColor rgb="FF660066"/>
      <rgbColor rgb="FFF2F5F9"/>
      <rgbColor rgb="FF2F5597"/>
      <rgbColor rgb="FFCBD5E1"/>
      <rgbColor rgb="FF000080"/>
      <rgbColor rgb="FFFF00FF"/>
      <rgbColor rgb="FFEAF6EA"/>
      <rgbColor rgb="FF00FFFF"/>
      <rgbColor rgb="FF800080"/>
      <rgbColor rgb="FF800000"/>
      <rgbColor rgb="FF008080"/>
      <rgbColor rgb="FF0000FF"/>
      <rgbColor rgb="FF00CCFF"/>
      <rgbColor rgb="FFDDEBF7"/>
      <rgbColor rgb="FFD9EAD3"/>
      <rgbColor rgb="FFFFF2CC"/>
      <rgbColor rgb="FFD9E1F2"/>
      <rgbColor rgb="FFEEE7F8"/>
      <rgbColor rgb="FFDCE6F1"/>
      <rgbColor rgb="FFFBEAEA"/>
      <rgbColor rgb="FF3366FF"/>
      <rgbColor rgb="FF46B1E1"/>
      <rgbColor rgb="FFF8FAFC"/>
      <rgbColor rgb="FFF3F5F7"/>
      <rgbColor rgb="FFFF9900"/>
      <rgbColor rgb="FFB7791F"/>
      <rgbColor rgb="FF6B7280"/>
      <rgbColor rgb="FFEAF2F8"/>
      <rgbColor rgb="FF17324D"/>
      <rgbColor rgb="FF2E7D32"/>
      <rgbColor rgb="FF0F172A"/>
      <rgbColor rgb="FF1E293B"/>
      <rgbColor rgb="FFB3261E"/>
      <rgbColor rgb="FF6B5B00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rentStatusTable" displayName="CurrentStatusTable" ref="A1:Q8" totalsRowShown="0">
  <tableColumns count="17">
    <tableColumn id="1" xr3:uid="{00000000-0010-0000-0000-000001000000}" name="خط الإنتاج (Line ID)"/>
    <tableColumn id="2" xr3:uid="{00000000-0010-0000-0000-000002000000}" name="اسم الماكينة (Machine Name)"/>
    <tableColumn id="3" xr3:uid="{00000000-0010-0000-0000-000003000000}" name="الحالة (Status)"/>
    <tableColumn id="4" xr3:uid="{00000000-0010-0000-0000-000004000000}" name="الصنف الشغال حاليا (Active Item Code)"/>
    <tableColumn id="5" xr3:uid="{00000000-0010-0000-0000-000005000000}" name="اسم الصنف (Item Name)"/>
    <tableColumn id="6" xr3:uid="{00000000-0010-0000-0000-000006000000}" name="وزن الوحدة (Unit Weight kg/pc)"/>
    <tableColumn id="7" xr3:uid="{00000000-0010-0000-0000-000007000000}" name="إجمالي كمية الأمر (Total Order Qty)"/>
    <tableColumn id="8" xr3:uid="{00000000-0010-0000-0000-000008000000}" name="الساعات المتبقية للانتهاء (Remaining Hours)"/>
    <tableColumn id="9" xr3:uid="{00000000-0010-0000-0000-000009000000}" name="الكمية المنتجة حتى الآن (Quantity Produced)"/>
    <tableColumn id="10" xr3:uid="{00000000-0010-0000-0000-00000A000000}" name="الكمية المتبقية (Remaining Quantity)"/>
    <tableColumn id="11" xr3:uid="{00000000-0010-0000-0000-00000B000000}" name="ملاحظات التشغيل (Notes)"/>
    <tableColumn id="12" xr3:uid="{00000000-0010-0000-0000-00000C000000}" name="معدل الإنتاج اليومي (Daily Production pcs/day)"/>
    <tableColumn id="13" xr3:uid="{00000000-0010-0000-0000-00000D000000}" name="معدل الماكينة (Machine Output kg/h)"/>
    <tableColumn id="14" xr3:uid="{00000000-0010-0000-0000-00000E000000}" name="معدل تقديري للمقاس الحالي kg/h (Estimated Output for Active Size)"/>
    <tableColumn id="15" xr3:uid="{00000000-0010-0000-0000-00000F000000}" name="تقييم التوافق (Compatibility Check)"/>
    <tableColumn id="16" xr3:uid="{00000000-0010-0000-0000-000010000000}" name="نوع التشغيل (Run Type)"/>
    <tableColumn id="17" xr3:uid="{00000000-0010-0000-0000-000011000000}" name="أيام التشغيل (Stock Days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endingOrdersTable" displayName="PendingOrdersTable" ref="A1:N29" totalsRowShown="0">
  <tableColumns count="14">
    <tableColumn id="1" xr3:uid="{00000000-0010-0000-0100-000001000000}" name="كود الصنف (Code)"/>
    <tableColumn id="2" xr3:uid="{00000000-0010-0000-0100-000002000000}" name="الكمية المطلوبة (Required Quantity)"/>
    <tableColumn id="3" xr3:uid="{00000000-0010-0000-0100-000003000000}" name="اسم العميل / المشروع (Customer Name)"/>
    <tableColumn id="4" xr3:uid="{00000000-0010-0000-0100-000004000000}" name="وصف الصنف (Description)"/>
    <tableColumn id="5" xr3:uid="{00000000-0010-0000-0100-000005000000}" name="وزن الوحدة (Unit Weight kg/pc)"/>
    <tableColumn id="6" xr3:uid="{00000000-0010-0000-0100-000006000000}" name="اسم الصنف (Item Name)"/>
    <tableColumn id="7" xr3:uid="{00000000-0010-0000-0100-000007000000}" name="معدل الإنتاج اليومي (Daily Production pcs/day)"/>
    <tableColumn id="8" xr3:uid="{00000000-0010-0000-0100-000008000000}" name="الماكينة المرشحة (Recommended Machine)"/>
    <tableColumn id="9" xr3:uid="{00000000-0010-0000-0100-000009000000}" name="الخط المرشح (Recommended Line ID)"/>
    <tableColumn id="10" xr3:uid="{00000000-0010-0000-0100-00000A000000}" name="معدل الماكينة (Machine Output kg/h)"/>
    <tableColumn id="11" xr3:uid="{00000000-0010-0000-0100-00000B000000}" name="معدل تقديري للمقاس kg/h (Estimated Output for Size)"/>
    <tableColumn id="12" xr3:uid="{00000000-0010-0000-0100-00000C000000}" name="درجة الثقة (Recommendation Confidence)"/>
    <tableColumn id="13" xr3:uid="{00000000-0010-0000-0100-00000D000000}" name="نوع الطلب (Order Type)"/>
    <tableColumn id="14" xr3:uid="{00000000-0010-0000-0100-00000E000000}" name="أيام التشغيل (Stock Days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izeMachineMatrixTable" displayName="SizeMachineMatrixTable" ref="A1:V76" totalsRowShown="0">
  <tableColumns count="22">
    <tableColumn id="1" xr3:uid="{00000000-0010-0000-0200-000001000000}" name="كود الصنف (Item Code)"/>
    <tableColumn id="2" xr3:uid="{00000000-0010-0000-0200-000002000000}" name="اسم الصنف (Item Name)"/>
    <tableColumn id="3" xr3:uid="{00000000-0010-0000-0200-000003000000}" name="الخامة (Material Family)"/>
    <tableColumn id="4" xr3:uid="{00000000-0010-0000-0200-000004000000}" name="القطر التقديري mm (Estimated Diameter)"/>
    <tableColumn id="5" xr3:uid="{00000000-0010-0000-0200-000005000000}" name="سمك الجدار mm (Wall Thickness)"/>
    <tableColumn id="6" xr3:uid="{00000000-0010-0000-0200-000006000000}" name="وزن الوحدة kg/pc (Unit Weight)"/>
    <tableColumn id="7" xr3:uid="{00000000-0010-0000-0200-000007000000}" name="عدد أيام الإنتاج التاريخي (Historical Days)"/>
    <tableColumn id="8" xr3:uid="{00000000-0010-0000-0200-000008000000}" name="متوسط أفضل 20 يوم pcs/day (Top-20 Daily Production)"/>
    <tableColumn id="9" xr3:uid="{00000000-0010-0000-0200-000009000000}" name="الإنتاج التاريخي kg/h - مستوى المصنع (Historical Plant kg/h)"/>
    <tableColumn id="10" xr3:uid="{00000000-0010-0000-0200-00000A000000}" name="فئة المقاس (Size Band)"/>
    <tableColumn id="11" xr3:uid="{00000000-0010-0000-0200-00000B000000}" name="الماكينة الأساسية (Primary Machine)"/>
    <tableColumn id="12" xr3:uid="{00000000-0010-0000-0200-00000C000000}" name="الخط الأساسي (Primary Line ID)"/>
    <tableColumn id="13" xr3:uid="{00000000-0010-0000-0200-00000D000000}" name="معدل تقديري على المقاس kg/h (Primary Est. kg/h)"/>
    <tableColumn id="14" xr3:uid="{00000000-0010-0000-0200-00000E000000}" name="الماكينة البديلة 1 (Alternative 1)"/>
    <tableColumn id="15" xr3:uid="{00000000-0010-0000-0200-00000F000000}" name="خط البديل 1 (Alt 1 Line ID)"/>
    <tableColumn id="16" xr3:uid="{00000000-0010-0000-0200-000010000000}" name="معدل البديل 1 kg/h (Alt 1 Est.)"/>
    <tableColumn id="17" xr3:uid="{00000000-0010-0000-0200-000011000000}" name="الماكينة البديلة 2 (Alternative 2)"/>
    <tableColumn id="18" xr3:uid="{00000000-0010-0000-0200-000012000000}" name="خط البديل 2 (Alt 2 Line ID)"/>
    <tableColumn id="19" xr3:uid="{00000000-0010-0000-0200-000013000000}" name="معدل البديل 2 kg/h (Alt 2 Est.)"/>
    <tableColumn id="20" xr3:uid="{00000000-0010-0000-0200-000014000000}" name="عدد الماكينات المرشحة (Eligible Machine Count)"/>
    <tableColumn id="21" xr3:uid="{00000000-0010-0000-0200-000015000000}" name="درجة الثقة (Confidence)"/>
    <tableColumn id="22" xr3:uid="{00000000-0010-0000-0200-000016000000}" name="ملاحظة هندسية (Engineering Note)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MachineMasterTable" displayName="MachineMasterTable" ref="A1:I9" totalsRowShown="0">
  <tableColumns count="9">
    <tableColumn id="1" xr3:uid="{00000000-0010-0000-0300-000001000000}" name="الخط (Line ID)"/>
    <tableColumn id="2" xr3:uid="{00000000-0010-0000-0300-000002000000}" name="اسم الماكينة (Machine Name)"/>
    <tableColumn id="3" xr3:uid="{00000000-0010-0000-0300-000003000000}" name="القدرة الاسمية kg/h (Nominal Capacity)"/>
    <tableColumn id="4" xr3:uid="{00000000-0010-0000-0300-000004000000}" name="التصنيف (Machine Size Class)"/>
    <tableColumn id="5" xr3:uid="{00000000-0010-0000-0300-000005000000}" name="نوع الرأس (Head)"/>
    <tableColumn id="6" xr3:uid="{00000000-0010-0000-0300-000006000000}" name="الحالة الحالية (Current Status)"/>
    <tableColumn id="7" xr3:uid="{00000000-0010-0000-0300-000007000000}" name="الصنف الحالي (Active Item Code)"/>
    <tableColumn id="8" xr3:uid="{00000000-0010-0000-0300-000008000000}" name="دليل التخطيط للمقاسات (Planning Size Guide)"/>
    <tableColumn id="9" xr3:uid="{00000000-0010-0000-0300-000009000000}" name="ملاحظات (Notes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" displayName="Table1" ref="A1:J54" totalsRowShown="0" headerRowDxfId="4">
  <autoFilter ref="A1:J54" xr:uid="{00000000-0009-0000-0100-000005000000}"/>
  <tableColumns count="10">
    <tableColumn id="1" xr3:uid="{00000000-0010-0000-0400-000001000000}" name="Date"/>
    <tableColumn id="2" xr3:uid="{00000000-0010-0000-0400-000002000000}" name="Item Code"/>
    <tableColumn id="3" xr3:uid="{00000000-0010-0000-0400-000003000000}" name="Product Description &amp; Specs"/>
    <tableColumn id="4" xr3:uid="{00000000-0010-0000-0400-000004000000}" name="Machine"/>
    <tableColumn id="5" xr3:uid="{00000000-0010-0000-0400-000005000000}" name="Production Qty (FG)"/>
    <tableColumn id="6" xr3:uid="{00000000-0010-0000-0400-000006000000}" name="Unit Weight (kg)"/>
    <tableColumn id="7" xr3:uid="{00000000-0010-0000-0400-000007000000}" name="Total Weight (kg)"/>
    <tableColumn id="8" xr3:uid="{00000000-0010-0000-0400-000008000000}" name="Scrap / Rejection (kg)"/>
    <tableColumn id="9" xr3:uid="{00000000-0010-0000-0400-000009000000}" name="Operating Hours"/>
    <tableColumn id="10" xr3:uid="{00000000-0010-0000-0400-00000A000000}" name="Reason of Stop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9" displayName="Table9" ref="B4:M10" totalsRowShown="0">
  <autoFilter ref="B4:M10" xr:uid="{00000000-0009-0000-0100-000007000000}"/>
  <tableColumns count="12">
    <tableColumn id="1" xr3:uid="{00000000-0010-0000-0500-000001000000}" name="Date"/>
    <tableColumn id="2" xr3:uid="{00000000-0010-0000-0500-000002000000}" name="Item Code"/>
    <tableColumn id="3" xr3:uid="{00000000-0010-0000-0500-000003000000}" name="Product Description / Size"/>
    <tableColumn id="4" xr3:uid="{00000000-0010-0000-0500-000004000000}" name="Color"/>
    <tableColumn id="5" xr3:uid="{00000000-0010-0000-0500-000005000000}" name="Formula Code"/>
    <tableColumn id="6" xr3:uid="{00000000-0010-0000-0500-000006000000}" name="Unit Weight (kg)"/>
    <tableColumn id="7" xr3:uid="{00000000-0010-0000-0500-000007000000}" name="Shift A (Pcs)"/>
    <tableColumn id="8" xr3:uid="{00000000-0010-0000-0500-000008000000}" name="Shift B (Pcs)"/>
    <tableColumn id="9" xr3:uid="{00000000-0010-0000-0500-000009000000}" name="Total Production (Pcs)"/>
    <tableColumn id="10" xr3:uid="{00000000-0010-0000-0500-00000A000000}" name="Total Weight (kg)"/>
    <tableColumn id="11" xr3:uid="{00000000-0010-0000-0500-00000B000000}" name="Print Specification / Marking Text"/>
    <tableColumn id="12" xr3:uid="{00000000-0010-0000-0500-00000C000000}" name="Machine(s)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8" displayName="Table8" ref="B5:I10" totalsRowShown="0">
  <autoFilter ref="B5:I10" xr:uid="{00000000-0009-0000-0100-000006000000}"/>
  <tableColumns count="8">
    <tableColumn id="1" xr3:uid="{00000000-0010-0000-0600-000001000000}" name="Date"/>
    <tableColumn id="2" xr3:uid="{00000000-0010-0000-0600-000002000000}" name="Formula Code (رقم الخلطة)"/>
    <tableColumn id="3" xr3:uid="{00000000-0010-0000-0600-000003000000}" name="Product / Color (اللون / نوع الصنف)"/>
    <tableColumn id="4" xr3:uid="{00000000-0010-0000-0600-000004000000}" name="Base PVC per Batch (kg)"/>
    <tableColumn id="5" xr3:uid="{00000000-0010-0000-0600-000005000000}" name="Shift A Batches"/>
    <tableColumn id="6" xr3:uid="{00000000-0010-0000-0600-000006000000}" name="Shift B Batches"/>
    <tableColumn id="7" xr3:uid="{00000000-0010-0000-0600-000007000000}" name="Total Batches"/>
    <tableColumn id="8" xr3:uid="{00000000-0010-0000-0600-000008000000}" name="Total PVC Consumed (kg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zoomScaleNormal="100" workbookViewId="0"/>
  </sheetViews>
  <sheetFormatPr defaultColWidth="8.6640625" defaultRowHeight="13.2" x14ac:dyDescent="0.25"/>
  <cols>
    <col min="1" max="1" width="11" customWidth="1"/>
    <col min="2" max="2" width="16" customWidth="1"/>
    <col min="3" max="3" width="11" customWidth="1"/>
    <col min="4" max="4" width="13" customWidth="1"/>
    <col min="5" max="5" width="36" customWidth="1"/>
    <col min="6" max="6" width="12" customWidth="1"/>
    <col min="7" max="10" width="14" customWidth="1"/>
    <col min="11" max="11" width="22" customWidth="1"/>
    <col min="12" max="12" width="14" customWidth="1"/>
    <col min="13" max="13" width="13" customWidth="1"/>
    <col min="14" max="14" width="15" customWidth="1"/>
    <col min="15" max="15" width="20" customWidth="1"/>
    <col min="16" max="16" width="21" customWidth="1"/>
    <col min="17" max="17" width="17" customWidth="1"/>
  </cols>
  <sheetData>
    <row r="1" spans="1:17" ht="6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.6" customHeight="1" x14ac:dyDescent="0.25">
      <c r="A2" s="2" t="s">
        <v>17</v>
      </c>
      <c r="B2" s="2" t="s">
        <v>18</v>
      </c>
      <c r="C2" s="3" t="s">
        <v>19</v>
      </c>
      <c r="D2" s="2" t="s">
        <v>20</v>
      </c>
      <c r="E2" s="4" t="s">
        <v>21</v>
      </c>
      <c r="F2" s="5">
        <v>5.7</v>
      </c>
      <c r="G2" s="6">
        <v>800</v>
      </c>
      <c r="H2" s="5">
        <f t="shared" ref="H2:H8" ca="1" si="0">IF($P2="Stock",IF(OR($Q2="",$Q2&lt;=0,(IF($L2&gt;0,$L2,IF(AND($N2&gt;0,$F2&gt;0),$N2*24/$F2,0)))&lt;=0),0,MAX(0,(CEILING(NOW()+(MAX(0,$Q2-IFERROR($I2/(IF($L2&gt;0,$L2,IF(AND($N2&gt;0,$F2&gt;0),$N2*24/$F2,0))),0)))-TIME(10,0,0),1)+TIME(10,0,0)-NOW())*24)),IFERROR($J2/$L2*24,0))</f>
        <v>7.59493670886076</v>
      </c>
      <c r="I2" s="6">
        <v>600</v>
      </c>
      <c r="J2" s="6">
        <v>200</v>
      </c>
      <c r="K2" s="2" t="s">
        <v>22</v>
      </c>
      <c r="L2" s="6">
        <v>632</v>
      </c>
      <c r="M2" s="6">
        <v>200</v>
      </c>
      <c r="N2" s="7">
        <v>150</v>
      </c>
      <c r="O2" s="4" t="s">
        <v>23</v>
      </c>
      <c r="P2" s="8" t="s">
        <v>24</v>
      </c>
      <c r="Q2" s="9"/>
    </row>
    <row r="3" spans="1:17" ht="21.6" customHeight="1" x14ac:dyDescent="0.25">
      <c r="A3" s="10" t="s">
        <v>25</v>
      </c>
      <c r="B3" s="10" t="s">
        <v>26</v>
      </c>
      <c r="C3" s="3" t="s">
        <v>19</v>
      </c>
      <c r="D3" s="10" t="s">
        <v>27</v>
      </c>
      <c r="E3" s="11" t="s">
        <v>28</v>
      </c>
      <c r="F3" s="12">
        <v>58</v>
      </c>
      <c r="G3" s="13">
        <v>600</v>
      </c>
      <c r="H3" s="12">
        <f t="shared" ca="1" si="0"/>
        <v>15.483870967741936</v>
      </c>
      <c r="I3" s="13">
        <v>480</v>
      </c>
      <c r="J3" s="13">
        <v>120</v>
      </c>
      <c r="K3" s="10" t="s">
        <v>22</v>
      </c>
      <c r="L3" s="13">
        <v>186</v>
      </c>
      <c r="M3" s="13">
        <v>500</v>
      </c>
      <c r="N3" s="7">
        <v>450</v>
      </c>
      <c r="O3" s="11" t="s">
        <v>23</v>
      </c>
      <c r="P3" s="8" t="s">
        <v>24</v>
      </c>
      <c r="Q3" s="9"/>
    </row>
    <row r="4" spans="1:17" ht="21.6" customHeight="1" x14ac:dyDescent="0.25">
      <c r="A4" s="2" t="s">
        <v>29</v>
      </c>
      <c r="B4" s="2" t="s">
        <v>30</v>
      </c>
      <c r="C4" s="14" t="s">
        <v>31</v>
      </c>
      <c r="D4" s="2"/>
      <c r="E4" s="4"/>
      <c r="F4" s="5"/>
      <c r="G4" s="6">
        <v>0</v>
      </c>
      <c r="H4" s="5">
        <f t="shared" ca="1" si="0"/>
        <v>0</v>
      </c>
      <c r="I4" s="6">
        <v>0</v>
      </c>
      <c r="J4" s="6">
        <v>0</v>
      </c>
      <c r="K4" s="2" t="s">
        <v>32</v>
      </c>
      <c r="L4" s="6"/>
      <c r="M4" s="6">
        <v>180</v>
      </c>
      <c r="N4" s="7"/>
      <c r="O4" s="4" t="s">
        <v>32</v>
      </c>
      <c r="P4" s="8"/>
      <c r="Q4" s="9"/>
    </row>
    <row r="5" spans="1:17" ht="21.6" customHeight="1" x14ac:dyDescent="0.25">
      <c r="A5" s="10" t="s">
        <v>33</v>
      </c>
      <c r="B5" s="10" t="s">
        <v>34</v>
      </c>
      <c r="C5" s="3" t="s">
        <v>19</v>
      </c>
      <c r="D5" s="10" t="s">
        <v>35</v>
      </c>
      <c r="E5" s="11" t="s">
        <v>36</v>
      </c>
      <c r="F5" s="12">
        <v>15</v>
      </c>
      <c r="G5" s="13">
        <v>1000</v>
      </c>
      <c r="H5" s="12">
        <f t="shared" ca="1" si="0"/>
        <v>13.299748110831235</v>
      </c>
      <c r="I5" s="13">
        <v>780</v>
      </c>
      <c r="J5" s="13">
        <v>220</v>
      </c>
      <c r="K5" s="10" t="s">
        <v>22</v>
      </c>
      <c r="L5" s="13">
        <v>397</v>
      </c>
      <c r="M5" s="13">
        <v>290</v>
      </c>
      <c r="N5" s="7">
        <v>248</v>
      </c>
      <c r="O5" s="11" t="s">
        <v>23</v>
      </c>
      <c r="P5" s="8" t="s">
        <v>24</v>
      </c>
      <c r="Q5" s="9"/>
    </row>
    <row r="6" spans="1:17" ht="21.6" customHeight="1" x14ac:dyDescent="0.25">
      <c r="A6" s="2" t="s">
        <v>37</v>
      </c>
      <c r="B6" s="2" t="s">
        <v>38</v>
      </c>
      <c r="C6" s="14" t="s">
        <v>31</v>
      </c>
      <c r="D6" s="2"/>
      <c r="E6" s="4"/>
      <c r="F6" s="5"/>
      <c r="G6" s="6">
        <v>0</v>
      </c>
      <c r="H6" s="5">
        <f t="shared" ca="1" si="0"/>
        <v>0</v>
      </c>
      <c r="I6" s="6">
        <v>0</v>
      </c>
      <c r="J6" s="6">
        <v>0</v>
      </c>
      <c r="K6" s="2" t="s">
        <v>32</v>
      </c>
      <c r="L6" s="6"/>
      <c r="M6" s="6">
        <v>380</v>
      </c>
      <c r="N6" s="7"/>
      <c r="O6" s="4" t="s">
        <v>32</v>
      </c>
      <c r="P6" s="8"/>
      <c r="Q6" s="9"/>
    </row>
    <row r="7" spans="1:17" ht="21.6" customHeight="1" x14ac:dyDescent="0.25">
      <c r="A7" s="10" t="s">
        <v>39</v>
      </c>
      <c r="B7" s="10" t="s">
        <v>40</v>
      </c>
      <c r="C7" s="14" t="s">
        <v>31</v>
      </c>
      <c r="D7" s="10"/>
      <c r="E7" s="11"/>
      <c r="F7" s="12"/>
      <c r="G7" s="13">
        <v>0</v>
      </c>
      <c r="H7" s="12">
        <f t="shared" ca="1" si="0"/>
        <v>0</v>
      </c>
      <c r="I7" s="13">
        <v>0</v>
      </c>
      <c r="J7" s="13">
        <v>0</v>
      </c>
      <c r="K7" s="10" t="s">
        <v>32</v>
      </c>
      <c r="L7" s="13"/>
      <c r="M7" s="13">
        <v>135</v>
      </c>
      <c r="N7" s="7"/>
      <c r="O7" s="11" t="s">
        <v>32</v>
      </c>
      <c r="P7" s="8"/>
      <c r="Q7" s="9"/>
    </row>
    <row r="8" spans="1:17" ht="21.6" customHeight="1" x14ac:dyDescent="0.25">
      <c r="A8" s="2" t="s">
        <v>41</v>
      </c>
      <c r="B8" s="2" t="s">
        <v>42</v>
      </c>
      <c r="C8" s="3" t="s">
        <v>19</v>
      </c>
      <c r="D8" s="2" t="s">
        <v>43</v>
      </c>
      <c r="E8" s="4" t="s">
        <v>44</v>
      </c>
      <c r="F8" s="5">
        <v>14.3</v>
      </c>
      <c r="G8" s="6">
        <v>800</v>
      </c>
      <c r="H8" s="5">
        <f t="shared" ca="1" si="0"/>
        <v>9.9481865284974091</v>
      </c>
      <c r="I8" s="6">
        <v>640</v>
      </c>
      <c r="J8" s="6">
        <v>160</v>
      </c>
      <c r="K8" s="2" t="s">
        <v>22</v>
      </c>
      <c r="L8" s="6">
        <v>386</v>
      </c>
      <c r="M8" s="6">
        <v>300</v>
      </c>
      <c r="N8" s="7">
        <v>230</v>
      </c>
      <c r="O8" s="4" t="s">
        <v>23</v>
      </c>
      <c r="P8" s="8" t="s">
        <v>24</v>
      </c>
      <c r="Q8" s="9"/>
    </row>
  </sheetData>
  <conditionalFormatting sqref="P2:P8">
    <cfRule type="expression" dxfId="3" priority="2">
      <formula>$P2="Order"</formula>
    </cfRule>
  </conditionalFormatting>
  <conditionalFormatting sqref="P2:Q8">
    <cfRule type="expression" dxfId="2" priority="3">
      <formula>$P2="Stock"</formula>
    </cfRule>
  </conditionalFormatting>
  <dataValidations count="2">
    <dataValidation type="list" sqref="P2:P100" xr:uid="{00000000-0002-0000-0000-000000000000}">
      <formula1>"Order,Stock"</formula1>
      <formula2>0</formula2>
    </dataValidation>
    <dataValidation type="decimal" sqref="Q2:Q100" xr:uid="{00000000-0002-0000-0000-000001000000}">
      <formula1>0</formula1>
      <formula2>365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4" customWidth="1"/>
    <col min="3" max="3" width="24" style="15" customWidth="1"/>
    <col min="4" max="4" width="36" customWidth="1"/>
    <col min="5" max="5" width="12" customWidth="1"/>
    <col min="6" max="6" width="36" customWidth="1"/>
    <col min="7" max="7" width="15" customWidth="1"/>
    <col min="8" max="8" width="16" customWidth="1"/>
    <col min="9" max="9" width="12" customWidth="1"/>
    <col min="10" max="10" width="14" customWidth="1"/>
    <col min="11" max="11" width="15" customWidth="1"/>
    <col min="12" max="12" width="16" customWidth="1"/>
    <col min="13" max="13" width="21" customWidth="1"/>
    <col min="14" max="14" width="17" customWidth="1"/>
  </cols>
  <sheetData>
    <row r="1" spans="1:14" ht="59.25" customHeight="1" x14ac:dyDescent="0.25">
      <c r="A1" s="16" t="s">
        <v>45</v>
      </c>
      <c r="B1" s="16" t="s">
        <v>46</v>
      </c>
      <c r="C1" s="17" t="s">
        <v>47</v>
      </c>
      <c r="D1" s="16" t="s">
        <v>48</v>
      </c>
      <c r="E1" s="16" t="s">
        <v>5</v>
      </c>
      <c r="F1" s="16" t="s">
        <v>4</v>
      </c>
      <c r="G1" s="16" t="s">
        <v>11</v>
      </c>
      <c r="H1" s="16" t="s">
        <v>49</v>
      </c>
      <c r="I1" s="16" t="s">
        <v>50</v>
      </c>
      <c r="J1" s="16" t="s">
        <v>12</v>
      </c>
      <c r="K1" s="16" t="s">
        <v>51</v>
      </c>
      <c r="L1" s="16" t="s">
        <v>52</v>
      </c>
      <c r="M1" s="16" t="s">
        <v>53</v>
      </c>
      <c r="N1" s="16" t="s">
        <v>16</v>
      </c>
    </row>
    <row r="2" spans="1:14" ht="24" customHeight="1" x14ac:dyDescent="0.25">
      <c r="A2" s="2" t="s">
        <v>54</v>
      </c>
      <c r="B2" s="6">
        <f>IF($M2="Stock",IF(OR($N2="",$N2&lt;=0,$G2&lt;=0),"",$N2*$G2),3500)</f>
        <v>5891</v>
      </c>
      <c r="C2" s="18" t="str">
        <f>IF($M2="Stock","Buffer Stock / مخزون ستوك","مؤسسة روافد الخرج للتوريدات")</f>
        <v>Buffer Stock / مخزون ستوك</v>
      </c>
      <c r="D2" s="4" t="s">
        <v>55</v>
      </c>
      <c r="E2" s="5">
        <v>0.55000000000000004</v>
      </c>
      <c r="F2" s="4" t="s">
        <v>55</v>
      </c>
      <c r="G2" s="6">
        <v>5891</v>
      </c>
      <c r="H2" s="19" t="s">
        <v>18</v>
      </c>
      <c r="I2" s="20" t="s">
        <v>17</v>
      </c>
      <c r="J2" s="7">
        <v>200</v>
      </c>
      <c r="K2" s="7">
        <v>135</v>
      </c>
      <c r="L2" s="2" t="s">
        <v>56</v>
      </c>
      <c r="M2" s="8" t="s">
        <v>57</v>
      </c>
      <c r="N2" s="21">
        <v>1</v>
      </c>
    </row>
    <row r="3" spans="1:14" ht="24" customHeight="1" x14ac:dyDescent="0.25">
      <c r="A3" s="10" t="s">
        <v>58</v>
      </c>
      <c r="B3" s="13">
        <f>IF($M3="Stock",IF(OR($N3="",$N3&lt;=0,$G3&lt;=0),"",$N3*$G3),3500)</f>
        <v>15428</v>
      </c>
      <c r="C3" s="22" t="str">
        <f>IF($M3="Stock","Buffer Stock / مخزون ستوك","مؤسسة بوابة الرياض للأدوات الصحية")</f>
        <v>Buffer Stock / مخزون ستوك</v>
      </c>
      <c r="D3" s="11" t="s">
        <v>59</v>
      </c>
      <c r="E3" s="12">
        <v>0.56000000000000005</v>
      </c>
      <c r="F3" s="11" t="s">
        <v>59</v>
      </c>
      <c r="G3" s="13">
        <v>7714</v>
      </c>
      <c r="H3" s="19" t="s">
        <v>18</v>
      </c>
      <c r="I3" s="20" t="s">
        <v>17</v>
      </c>
      <c r="J3" s="7">
        <v>200</v>
      </c>
      <c r="K3" s="7">
        <v>180</v>
      </c>
      <c r="L3" s="10" t="s">
        <v>56</v>
      </c>
      <c r="M3" s="8" t="s">
        <v>57</v>
      </c>
      <c r="N3" s="21">
        <v>2</v>
      </c>
    </row>
    <row r="4" spans="1:14" ht="24" customHeight="1" x14ac:dyDescent="0.25">
      <c r="A4" s="10" t="s">
        <v>60</v>
      </c>
      <c r="B4" s="13">
        <f>IF($M4="Stock",IF(OR($N4="",$N4&lt;=0,$G4&lt;=0),"",$N4*$G4),2200)</f>
        <v>2200</v>
      </c>
      <c r="C4" s="22" t="str">
        <f>IF($M4="Stock","Buffer Stock / مخزون ستوك","مؤسسة رواسي جدة لمواد البناء")</f>
        <v>مؤسسة رواسي جدة لمواد البناء</v>
      </c>
      <c r="D4" s="11" t="s">
        <v>61</v>
      </c>
      <c r="E4" s="12">
        <v>2.75</v>
      </c>
      <c r="F4" s="11" t="s">
        <v>61</v>
      </c>
      <c r="G4" s="13">
        <v>1004</v>
      </c>
      <c r="H4" s="19" t="s">
        <v>30</v>
      </c>
      <c r="I4" s="20" t="s">
        <v>29</v>
      </c>
      <c r="J4" s="7">
        <v>180</v>
      </c>
      <c r="K4" s="7">
        <v>115</v>
      </c>
      <c r="L4" s="10" t="s">
        <v>62</v>
      </c>
      <c r="M4" s="8" t="s">
        <v>24</v>
      </c>
      <c r="N4" s="21"/>
    </row>
    <row r="5" spans="1:14" ht="24" customHeight="1" x14ac:dyDescent="0.25">
      <c r="A5" s="2" t="s">
        <v>63</v>
      </c>
      <c r="B5" s="6">
        <f>IF($M5="Stock",IF(OR($N5="",$N5&lt;=0,$G5&lt;=0),"",$N5*$G5),3400)</f>
        <v>3678</v>
      </c>
      <c r="C5" s="18" t="str">
        <f>IF($M5="Stock","Buffer Stock / مخزون ستوك","شركة دروب الطائف للبنية التحتية")</f>
        <v>Buffer Stock / مخزون ستوك</v>
      </c>
      <c r="D5" s="4" t="s">
        <v>64</v>
      </c>
      <c r="E5" s="5">
        <v>2.8</v>
      </c>
      <c r="F5" s="4" t="s">
        <v>64</v>
      </c>
      <c r="G5" s="6">
        <v>1226</v>
      </c>
      <c r="H5" s="19" t="s">
        <v>30</v>
      </c>
      <c r="I5" s="20" t="s">
        <v>29</v>
      </c>
      <c r="J5" s="7">
        <v>180</v>
      </c>
      <c r="K5" s="7">
        <v>143</v>
      </c>
      <c r="L5" s="2" t="s">
        <v>65</v>
      </c>
      <c r="M5" s="8" t="s">
        <v>57</v>
      </c>
      <c r="N5" s="21">
        <v>3</v>
      </c>
    </row>
    <row r="6" spans="1:14" ht="24" customHeight="1" x14ac:dyDescent="0.25">
      <c r="A6" s="10" t="s">
        <v>66</v>
      </c>
      <c r="B6" s="13">
        <f>IF($M6="Stock",IF(OR($N6="",$N6&lt;=0,$G6&lt;=0),"",$N6*$G6),2350)</f>
        <v>2350</v>
      </c>
      <c r="C6" s="22" t="str">
        <f>IF($M6="Stock","Buffer Stock / مخزون ستوك","مؤسسة نماء الخرج للتوريدات الزراعية")</f>
        <v>مؤسسة نماء الخرج للتوريدات الزراعية</v>
      </c>
      <c r="D6" s="11" t="s">
        <v>67</v>
      </c>
      <c r="E6" s="12">
        <v>3</v>
      </c>
      <c r="F6" s="11" t="s">
        <v>67</v>
      </c>
      <c r="G6" s="13">
        <v>1120</v>
      </c>
      <c r="H6" s="19" t="s">
        <v>18</v>
      </c>
      <c r="I6" s="20" t="s">
        <v>17</v>
      </c>
      <c r="J6" s="7">
        <v>200</v>
      </c>
      <c r="K6" s="7">
        <v>140</v>
      </c>
      <c r="L6" s="10" t="s">
        <v>56</v>
      </c>
      <c r="M6" s="8" t="s">
        <v>24</v>
      </c>
      <c r="N6" s="21"/>
    </row>
    <row r="7" spans="1:14" ht="24" customHeight="1" x14ac:dyDescent="0.25">
      <c r="A7" s="2" t="s">
        <v>68</v>
      </c>
      <c r="B7" s="6">
        <f>IF($M7="Stock",IF(OR($N7="",$N7&lt;=0,$G7&lt;=0),"",$N7*$G7),1200)</f>
        <v>926</v>
      </c>
      <c r="C7" s="18" t="str">
        <f>IF($M7="Stock","Buffer Stock / مخزون ستوك","شركة جسور الشرقية للمقاولات")</f>
        <v>Buffer Stock / مخزون ستوك</v>
      </c>
      <c r="D7" s="4" t="s">
        <v>69</v>
      </c>
      <c r="E7" s="5">
        <v>3.5</v>
      </c>
      <c r="F7" s="4" t="s">
        <v>69</v>
      </c>
      <c r="G7" s="6">
        <v>926</v>
      </c>
      <c r="H7" s="19" t="s">
        <v>30</v>
      </c>
      <c r="I7" s="20" t="s">
        <v>29</v>
      </c>
      <c r="J7" s="7">
        <v>180</v>
      </c>
      <c r="K7" s="7">
        <v>135</v>
      </c>
      <c r="L7" s="2" t="s">
        <v>62</v>
      </c>
      <c r="M7" s="8" t="s">
        <v>57</v>
      </c>
      <c r="N7" s="21">
        <v>1</v>
      </c>
    </row>
    <row r="8" spans="1:14" ht="24" customHeight="1" x14ac:dyDescent="0.25">
      <c r="A8" s="10" t="s">
        <v>20</v>
      </c>
      <c r="B8" s="13">
        <f>IF($M8="Stock",IF(OR($N8="",$N8&lt;=0,$G8&lt;=0),"",$N8*$G8),1550)</f>
        <v>1550</v>
      </c>
      <c r="C8" s="22" t="str">
        <f>IF($M8="Stock","Buffer Stock / مخزون ستوك","مؤسسة سهول نجران للتجارة")</f>
        <v>مؤسسة سهول نجران للتجارة</v>
      </c>
      <c r="D8" s="11" t="s">
        <v>21</v>
      </c>
      <c r="E8" s="12">
        <v>5.7</v>
      </c>
      <c r="F8" s="11" t="s">
        <v>21</v>
      </c>
      <c r="G8" s="13">
        <v>632</v>
      </c>
      <c r="H8" s="19" t="s">
        <v>18</v>
      </c>
      <c r="I8" s="20" t="s">
        <v>17</v>
      </c>
      <c r="J8" s="7">
        <v>200</v>
      </c>
      <c r="K8" s="7">
        <v>150</v>
      </c>
      <c r="L8" s="10" t="s">
        <v>70</v>
      </c>
      <c r="M8" s="8" t="s">
        <v>24</v>
      </c>
      <c r="N8" s="21"/>
    </row>
    <row r="9" spans="1:14" ht="24" customHeight="1" x14ac:dyDescent="0.25">
      <c r="A9" s="2" t="s">
        <v>71</v>
      </c>
      <c r="B9" s="6">
        <f>IF($M9="Stock",IF(OR($N9="",$N9&lt;=0,$G9&lt;=0),"",$N9*$G9),1350)</f>
        <v>2800</v>
      </c>
      <c r="C9" s="18" t="str">
        <f>IF($M9="Stock","Buffer Stock / مخزون ستوك","مؤسسة روافد الخرج للتوريدات")</f>
        <v>Buffer Stock / مخزون ستوك</v>
      </c>
      <c r="D9" s="4" t="s">
        <v>72</v>
      </c>
      <c r="E9" s="5">
        <v>6</v>
      </c>
      <c r="F9" s="4" t="s">
        <v>72</v>
      </c>
      <c r="G9" s="6">
        <v>700</v>
      </c>
      <c r="H9" s="19" t="s">
        <v>18</v>
      </c>
      <c r="I9" s="20" t="s">
        <v>17</v>
      </c>
      <c r="J9" s="7">
        <v>200</v>
      </c>
      <c r="K9" s="7">
        <v>175</v>
      </c>
      <c r="L9" s="2" t="s">
        <v>56</v>
      </c>
      <c r="M9" s="8" t="s">
        <v>57</v>
      </c>
      <c r="N9" s="21">
        <v>4</v>
      </c>
    </row>
    <row r="10" spans="1:14" ht="24" customHeight="1" x14ac:dyDescent="0.25">
      <c r="A10" s="10" t="s">
        <v>73</v>
      </c>
      <c r="B10" s="13">
        <f>IF($M10="Stock",IF(OR($N10="",$N10&lt;=0,$G10&lt;=0),"",$N10*$G10),700)</f>
        <v>700</v>
      </c>
      <c r="C10" s="22" t="str">
        <f>IF($M10="Stock","Buffer Stock / مخزون ستوك","مؤسسة بوابة الرياض للأدوات الصحية")</f>
        <v>مؤسسة بوابة الرياض للأدوات الصحية</v>
      </c>
      <c r="D10" s="11" t="s">
        <v>74</v>
      </c>
      <c r="E10" s="12">
        <v>6.6</v>
      </c>
      <c r="F10" s="11" t="s">
        <v>74</v>
      </c>
      <c r="G10" s="13">
        <v>473</v>
      </c>
      <c r="H10" s="19" t="s">
        <v>40</v>
      </c>
      <c r="I10" s="20" t="s">
        <v>39</v>
      </c>
      <c r="J10" s="7">
        <v>135</v>
      </c>
      <c r="K10" s="7">
        <v>130</v>
      </c>
      <c r="L10" s="10" t="s">
        <v>62</v>
      </c>
      <c r="M10" s="8" t="s">
        <v>24</v>
      </c>
      <c r="N10" s="21"/>
    </row>
    <row r="11" spans="1:14" ht="24" customHeight="1" x14ac:dyDescent="0.25">
      <c r="A11" s="2" t="s">
        <v>75</v>
      </c>
      <c r="B11" s="6">
        <f>IF($M11="Stock",IF(OR($N11="",$N11&lt;=0,$G11&lt;=0),"",$N11*$G11),3200)</f>
        <v>1370</v>
      </c>
      <c r="C11" s="18" t="str">
        <f>IF($M11="Stock","Buffer Stock / مخزون ستوك","شركة أساس نجد للمقاولات")</f>
        <v>Buffer Stock / مخزون ستوك</v>
      </c>
      <c r="D11" s="4" t="s">
        <v>76</v>
      </c>
      <c r="E11" s="5">
        <v>8.1999999999999993</v>
      </c>
      <c r="F11" s="4" t="s">
        <v>76</v>
      </c>
      <c r="G11" s="6">
        <v>685</v>
      </c>
      <c r="H11" s="19" t="s">
        <v>42</v>
      </c>
      <c r="I11" s="20" t="s">
        <v>41</v>
      </c>
      <c r="J11" s="7">
        <v>300</v>
      </c>
      <c r="K11" s="7">
        <v>234</v>
      </c>
      <c r="L11" s="2" t="s">
        <v>77</v>
      </c>
      <c r="M11" s="8" t="s">
        <v>57</v>
      </c>
      <c r="N11" s="21">
        <v>2</v>
      </c>
    </row>
    <row r="12" spans="1:14" ht="24" customHeight="1" x14ac:dyDescent="0.25">
      <c r="A12" s="10" t="s">
        <v>78</v>
      </c>
      <c r="B12" s="13">
        <f>IF($M12="Stock",IF(OR($N12="",$N12&lt;=0,$G12&lt;=0),"",$N12*$G12),750)</f>
        <v>750</v>
      </c>
      <c r="C12" s="22" t="str">
        <f>IF($M12="Stock","Buffer Stock / مخزون ستوك","مؤسسة وادي الدواسر لمواد البناء")</f>
        <v>مؤسسة وادي الدواسر لمواد البناء</v>
      </c>
      <c r="D12" s="11" t="s">
        <v>79</v>
      </c>
      <c r="E12" s="12">
        <v>9</v>
      </c>
      <c r="F12" s="11" t="s">
        <v>79</v>
      </c>
      <c r="G12" s="13">
        <v>360</v>
      </c>
      <c r="H12" s="19" t="s">
        <v>18</v>
      </c>
      <c r="I12" s="20" t="s">
        <v>17</v>
      </c>
      <c r="J12" s="7">
        <v>200</v>
      </c>
      <c r="K12" s="7">
        <v>135</v>
      </c>
      <c r="L12" s="10" t="s">
        <v>56</v>
      </c>
      <c r="M12" s="8" t="s">
        <v>24</v>
      </c>
      <c r="N12" s="21"/>
    </row>
    <row r="13" spans="1:14" ht="24" customHeight="1" x14ac:dyDescent="0.25">
      <c r="A13" s="2" t="s">
        <v>80</v>
      </c>
      <c r="B13" s="6">
        <f>IF($M13="Stock",IF(OR($N13="",$N13&lt;=0,$G13&lt;=0),"",$N13*$G13),400)</f>
        <v>2280</v>
      </c>
      <c r="C13" s="18" t="str">
        <f>IF($M13="Stock","Buffer Stock / مخزون ستوك","شركة ركائز الوسطى للمقاولات")</f>
        <v>Buffer Stock / مخزون ستوك</v>
      </c>
      <c r="D13" s="4" t="s">
        <v>81</v>
      </c>
      <c r="E13" s="5">
        <v>10</v>
      </c>
      <c r="F13" s="4" t="s">
        <v>81</v>
      </c>
      <c r="G13" s="6">
        <v>456</v>
      </c>
      <c r="H13" s="19" t="s">
        <v>42</v>
      </c>
      <c r="I13" s="20" t="s">
        <v>41</v>
      </c>
      <c r="J13" s="7">
        <v>300</v>
      </c>
      <c r="K13" s="7">
        <v>190</v>
      </c>
      <c r="L13" s="2" t="s">
        <v>62</v>
      </c>
      <c r="M13" s="8" t="s">
        <v>57</v>
      </c>
      <c r="N13" s="21">
        <v>5</v>
      </c>
    </row>
    <row r="14" spans="1:14" ht="24" customHeight="1" x14ac:dyDescent="0.25">
      <c r="A14" s="10" t="s">
        <v>82</v>
      </c>
      <c r="B14" s="13">
        <f>IF($M14="Stock",IF(OR($N14="",$N14&lt;=0,$G14&lt;=0),"",$N14*$G14),1100)</f>
        <v>1100</v>
      </c>
      <c r="C14" s="22" t="str">
        <f>IF($M14="Stock","Buffer Stock / مخزون ستوك","مؤسسة مداد القصيم للتجارة")</f>
        <v>مؤسسة مداد القصيم للتجارة</v>
      </c>
      <c r="D14" s="11" t="s">
        <v>83</v>
      </c>
      <c r="E14" s="12">
        <v>10.5</v>
      </c>
      <c r="F14" s="11" t="s">
        <v>83</v>
      </c>
      <c r="G14" s="13">
        <v>526</v>
      </c>
      <c r="H14" s="19" t="s">
        <v>42</v>
      </c>
      <c r="I14" s="20" t="s">
        <v>41</v>
      </c>
      <c r="J14" s="7">
        <v>300</v>
      </c>
      <c r="K14" s="7">
        <v>230</v>
      </c>
      <c r="L14" s="10" t="s">
        <v>62</v>
      </c>
      <c r="M14" s="8" t="s">
        <v>24</v>
      </c>
      <c r="N14" s="21"/>
    </row>
    <row r="15" spans="1:14" ht="24" customHeight="1" x14ac:dyDescent="0.25">
      <c r="A15" s="2" t="s">
        <v>84</v>
      </c>
      <c r="B15" s="6">
        <f>IF($M15="Stock",IF(OR($N15="",$N15&lt;=0,$G15&lt;=0),"",$N15*$G15),1250)</f>
        <v>1767</v>
      </c>
      <c r="C15" s="18" t="str">
        <f>IF($M15="Stock","Buffer Stock / مخزون ستوك","شركة آفاق الأحساء للمقاولات")</f>
        <v>Buffer Stock / مخزون ستوك</v>
      </c>
      <c r="D15" s="4" t="s">
        <v>85</v>
      </c>
      <c r="E15" s="5">
        <v>10.8</v>
      </c>
      <c r="F15" s="4" t="s">
        <v>85</v>
      </c>
      <c r="G15" s="6">
        <v>589</v>
      </c>
      <c r="H15" s="19" t="s">
        <v>34</v>
      </c>
      <c r="I15" s="20" t="s">
        <v>33</v>
      </c>
      <c r="J15" s="7">
        <v>290</v>
      </c>
      <c r="K15" s="7">
        <v>265</v>
      </c>
      <c r="L15" s="2" t="s">
        <v>62</v>
      </c>
      <c r="M15" s="8" t="s">
        <v>57</v>
      </c>
      <c r="N15" s="21">
        <v>3</v>
      </c>
    </row>
    <row r="16" spans="1:14" ht="24" customHeight="1" x14ac:dyDescent="0.25">
      <c r="A16" s="10" t="s">
        <v>43</v>
      </c>
      <c r="B16" s="13">
        <f>IF($M16="Stock",IF(OR($N16="",$N16&lt;=0,$G16&lt;=0),"",$N16*$G16),1400)</f>
        <v>1400</v>
      </c>
      <c r="C16" s="22" t="str">
        <f>IF($M16="Stock","Buffer Stock / مخزون ستوك","مؤسسة سواحل الدمام للتوريدات")</f>
        <v>مؤسسة سواحل الدمام للتوريدات</v>
      </c>
      <c r="D16" s="11" t="s">
        <v>44</v>
      </c>
      <c r="E16" s="12">
        <v>14.3</v>
      </c>
      <c r="F16" s="11" t="s">
        <v>44</v>
      </c>
      <c r="G16" s="13">
        <v>386</v>
      </c>
      <c r="H16" s="19" t="s">
        <v>42</v>
      </c>
      <c r="I16" s="20" t="s">
        <v>41</v>
      </c>
      <c r="J16" s="7">
        <v>300</v>
      </c>
      <c r="K16" s="7">
        <v>230</v>
      </c>
      <c r="L16" s="10" t="s">
        <v>70</v>
      </c>
      <c r="M16" s="8" t="s">
        <v>24</v>
      </c>
      <c r="N16" s="21"/>
    </row>
    <row r="17" spans="1:14" ht="24" customHeight="1" x14ac:dyDescent="0.25">
      <c r="A17" s="2" t="s">
        <v>86</v>
      </c>
      <c r="B17" s="6">
        <f>IF($M17="Stock",IF(OR($N17="",$N17&lt;=0,$G17&lt;=0),"",$N17*$G17),700)</f>
        <v>463</v>
      </c>
      <c r="C17" s="18" t="str">
        <f>IF($M17="Stock","Buffer Stock / مخزون ستوك","شركة عمران اليمامة للمقاولات")</f>
        <v>Buffer Stock / مخزون ستوك</v>
      </c>
      <c r="D17" s="4" t="s">
        <v>87</v>
      </c>
      <c r="E17" s="5">
        <v>14.5</v>
      </c>
      <c r="F17" s="4" t="s">
        <v>87</v>
      </c>
      <c r="G17" s="6">
        <v>463</v>
      </c>
      <c r="H17" s="19" t="s">
        <v>34</v>
      </c>
      <c r="I17" s="20" t="s">
        <v>33</v>
      </c>
      <c r="J17" s="7">
        <v>290</v>
      </c>
      <c r="K17" s="7">
        <v>280</v>
      </c>
      <c r="L17" s="2" t="s">
        <v>62</v>
      </c>
      <c r="M17" s="8" t="s">
        <v>57</v>
      </c>
      <c r="N17" s="21">
        <v>1</v>
      </c>
    </row>
    <row r="18" spans="1:14" ht="24" customHeight="1" x14ac:dyDescent="0.25">
      <c r="A18" s="10" t="s">
        <v>35</v>
      </c>
      <c r="B18" s="13">
        <f>IF($M18="Stock",IF(OR($N18="",$N18&lt;=0,$G18&lt;=0),"",$N18*$G18),900)</f>
        <v>900</v>
      </c>
      <c r="C18" s="22" t="str">
        <f>IF($M18="Stock","Buffer Stock / مخزون ستوك","مؤسسة رواسي جدة لمواد البناء")</f>
        <v>مؤسسة رواسي جدة لمواد البناء</v>
      </c>
      <c r="D18" s="11" t="s">
        <v>36</v>
      </c>
      <c r="E18" s="12">
        <v>15</v>
      </c>
      <c r="F18" s="11" t="s">
        <v>36</v>
      </c>
      <c r="G18" s="13">
        <v>397</v>
      </c>
      <c r="H18" s="19" t="s">
        <v>34</v>
      </c>
      <c r="I18" s="20" t="s">
        <v>33</v>
      </c>
      <c r="J18" s="7">
        <v>290</v>
      </c>
      <c r="K18" s="7">
        <v>248</v>
      </c>
      <c r="L18" s="10" t="s">
        <v>77</v>
      </c>
      <c r="M18" s="8" t="s">
        <v>24</v>
      </c>
      <c r="N18" s="21"/>
    </row>
    <row r="19" spans="1:14" ht="24" customHeight="1" x14ac:dyDescent="0.25">
      <c r="A19" s="2" t="s">
        <v>88</v>
      </c>
      <c r="B19" s="6">
        <f>IF($M19="Stock",IF(OR($N19="",$N19&lt;=0,$G19&lt;=0),"",$N19*$G19),1700)</f>
        <v>1656</v>
      </c>
      <c r="C19" s="18" t="str">
        <f>IF($M19="Stock","Buffer Stock / مخزون ستوك","شركة دروب الطائف للبنية التحتية")</f>
        <v>Buffer Stock / مخزون ستوك</v>
      </c>
      <c r="D19" s="4" t="s">
        <v>89</v>
      </c>
      <c r="E19" s="5">
        <v>16</v>
      </c>
      <c r="F19" s="4" t="s">
        <v>89</v>
      </c>
      <c r="G19" s="6">
        <v>414</v>
      </c>
      <c r="H19" s="19" t="s">
        <v>38</v>
      </c>
      <c r="I19" s="20" t="s">
        <v>37</v>
      </c>
      <c r="J19" s="7">
        <v>380</v>
      </c>
      <c r="K19" s="7">
        <v>276</v>
      </c>
      <c r="L19" s="2" t="s">
        <v>77</v>
      </c>
      <c r="M19" s="8" t="s">
        <v>57</v>
      </c>
      <c r="N19" s="21">
        <v>4</v>
      </c>
    </row>
    <row r="20" spans="1:14" ht="24" customHeight="1" x14ac:dyDescent="0.25">
      <c r="A20" s="10" t="s">
        <v>90</v>
      </c>
      <c r="B20" s="13">
        <f>IF($M20="Stock",IF(OR($N20="",$N20&lt;=0,$G20&lt;=0),"",$N20*$G20),2800)</f>
        <v>2800</v>
      </c>
      <c r="C20" s="22" t="str">
        <f>IF($M20="Stock","Buffer Stock / مخزون ستوك","مؤسسة نماء الخرج للتوريدات الزراعية")</f>
        <v>مؤسسة نماء الخرج للتوريدات الزراعية</v>
      </c>
      <c r="D20" s="11" t="s">
        <v>91</v>
      </c>
      <c r="E20" s="12">
        <v>17.5</v>
      </c>
      <c r="F20" s="11" t="s">
        <v>91</v>
      </c>
      <c r="G20" s="13">
        <v>372</v>
      </c>
      <c r="H20" s="19" t="s">
        <v>34</v>
      </c>
      <c r="I20" s="20" t="s">
        <v>33</v>
      </c>
      <c r="J20" s="7">
        <v>290</v>
      </c>
      <c r="K20" s="7">
        <v>271</v>
      </c>
      <c r="L20" s="10" t="s">
        <v>77</v>
      </c>
      <c r="M20" s="8" t="s">
        <v>24</v>
      </c>
      <c r="N20" s="21"/>
    </row>
    <row r="21" spans="1:14" ht="24" customHeight="1" x14ac:dyDescent="0.25">
      <c r="A21" s="2" t="s">
        <v>92</v>
      </c>
      <c r="B21" s="6">
        <f>IF($M21="Stock",IF(OR($N21="",$N21&lt;=0,$G21&lt;=0),"",$N21*$G21),400)</f>
        <v>654</v>
      </c>
      <c r="C21" s="18" t="str">
        <f>IF($M21="Stock","Buffer Stock / مخزون ستوك","شركة جسور الشرقية للمقاولات")</f>
        <v>Buffer Stock / مخزون ستوك</v>
      </c>
      <c r="D21" s="4" t="s">
        <v>93</v>
      </c>
      <c r="E21" s="5">
        <v>18</v>
      </c>
      <c r="F21" s="4" t="s">
        <v>93</v>
      </c>
      <c r="G21" s="6">
        <v>327</v>
      </c>
      <c r="H21" s="19" t="s">
        <v>38</v>
      </c>
      <c r="I21" s="20" t="s">
        <v>37</v>
      </c>
      <c r="J21" s="7">
        <v>380</v>
      </c>
      <c r="K21" s="7">
        <v>245</v>
      </c>
      <c r="L21" s="2" t="s">
        <v>62</v>
      </c>
      <c r="M21" s="8" t="s">
        <v>57</v>
      </c>
      <c r="N21" s="21">
        <v>2</v>
      </c>
    </row>
    <row r="22" spans="1:14" ht="24" customHeight="1" x14ac:dyDescent="0.25">
      <c r="A22" s="10" t="s">
        <v>94</v>
      </c>
      <c r="B22" s="13">
        <f>IF($M22="Stock",IF(OR($N22="",$N22&lt;=0,$G22&lt;=0),"",$N22*$G22),450)</f>
        <v>450</v>
      </c>
      <c r="C22" s="22" t="str">
        <f>IF($M22="Stock","Buffer Stock / مخزون ستوك","شركة روافد المدينة للبنية التحتية")</f>
        <v>شركة روافد المدينة للبنية التحتية</v>
      </c>
      <c r="D22" s="11" t="s">
        <v>95</v>
      </c>
      <c r="E22" s="12">
        <v>18</v>
      </c>
      <c r="F22" s="11" t="s">
        <v>95</v>
      </c>
      <c r="G22" s="13">
        <v>320</v>
      </c>
      <c r="H22" s="19" t="s">
        <v>38</v>
      </c>
      <c r="I22" s="20" t="s">
        <v>37</v>
      </c>
      <c r="J22" s="7">
        <v>380</v>
      </c>
      <c r="K22" s="7">
        <v>240</v>
      </c>
      <c r="L22" s="10" t="s">
        <v>62</v>
      </c>
      <c r="M22" s="8" t="s">
        <v>24</v>
      </c>
      <c r="N22" s="21"/>
    </row>
    <row r="23" spans="1:14" ht="24" customHeight="1" x14ac:dyDescent="0.25">
      <c r="A23" s="2" t="s">
        <v>96</v>
      </c>
      <c r="B23" s="6">
        <f>IF($M23="Stock",IF(OR($N23="",$N23&lt;=0,$G23&lt;=0),"",$N23*$G23),550)</f>
        <v>1605</v>
      </c>
      <c r="C23" s="18" t="str">
        <f>IF($M23="Stock","Buffer Stock / مخزون ستوك","مؤسسة بوابة تبوك لمواد البناء")</f>
        <v>Buffer Stock / مخزون ستوك</v>
      </c>
      <c r="D23" s="4" t="s">
        <v>97</v>
      </c>
      <c r="E23" s="5">
        <v>18.3</v>
      </c>
      <c r="F23" s="4" t="s">
        <v>97</v>
      </c>
      <c r="G23" s="6">
        <v>321</v>
      </c>
      <c r="H23" s="19" t="s">
        <v>34</v>
      </c>
      <c r="I23" s="20" t="s">
        <v>33</v>
      </c>
      <c r="J23" s="7">
        <v>290</v>
      </c>
      <c r="K23" s="7">
        <v>245</v>
      </c>
      <c r="L23" s="2" t="s">
        <v>62</v>
      </c>
      <c r="M23" s="8" t="s">
        <v>57</v>
      </c>
      <c r="N23" s="21">
        <v>5</v>
      </c>
    </row>
    <row r="24" spans="1:14" ht="24" customHeight="1" x14ac:dyDescent="0.25">
      <c r="A24" s="10" t="s">
        <v>98</v>
      </c>
      <c r="B24" s="13">
        <f>IF($M24="Stock",IF(OR($N24="",$N24&lt;=0,$G24&lt;=0),"",$N24*$G24),1400)</f>
        <v>1400</v>
      </c>
      <c r="C24" s="22" t="str">
        <f>IF($M24="Stock","Buffer Stock / مخزون ستوك","شركة امتداد الرياض لشبكات المياه")</f>
        <v>شركة امتداد الرياض لشبكات المياه</v>
      </c>
      <c r="D24" s="11" t="s">
        <v>99</v>
      </c>
      <c r="E24" s="12">
        <v>21.2</v>
      </c>
      <c r="F24" s="11" t="s">
        <v>99</v>
      </c>
      <c r="G24" s="13">
        <v>311</v>
      </c>
      <c r="H24" s="19" t="s">
        <v>34</v>
      </c>
      <c r="I24" s="20" t="s">
        <v>33</v>
      </c>
      <c r="J24" s="7">
        <v>290</v>
      </c>
      <c r="K24" s="7">
        <v>275</v>
      </c>
      <c r="L24" s="10" t="s">
        <v>62</v>
      </c>
      <c r="M24" s="8" t="s">
        <v>24</v>
      </c>
      <c r="N24" s="21"/>
    </row>
    <row r="25" spans="1:14" ht="24" customHeight="1" x14ac:dyDescent="0.25">
      <c r="A25" s="10" t="s">
        <v>100</v>
      </c>
      <c r="B25" s="13">
        <f>IF($M25="Stock",IF(OR($N25="",$N25&lt;=0,$G25&lt;=0),"",$N25*$G25),400)</f>
        <v>642</v>
      </c>
      <c r="C25" s="22" t="str">
        <f>IF($M25="Stock","Buffer Stock / مخزون ستوك","مؤسسة مداد القصيم للتجارة")</f>
        <v>Buffer Stock / مخزون ستوك</v>
      </c>
      <c r="D25" s="11" t="s">
        <v>101</v>
      </c>
      <c r="E25" s="12">
        <v>50</v>
      </c>
      <c r="F25" s="11" t="s">
        <v>101</v>
      </c>
      <c r="G25" s="13">
        <v>214</v>
      </c>
      <c r="H25" s="19" t="s">
        <v>26</v>
      </c>
      <c r="I25" s="20" t="s">
        <v>25</v>
      </c>
      <c r="J25" s="7">
        <v>500</v>
      </c>
      <c r="K25" s="7">
        <v>445</v>
      </c>
      <c r="L25" s="10" t="s">
        <v>62</v>
      </c>
      <c r="M25" s="8" t="s">
        <v>57</v>
      </c>
      <c r="N25" s="21">
        <v>3</v>
      </c>
    </row>
    <row r="26" spans="1:14" ht="24" customHeight="1" x14ac:dyDescent="0.25">
      <c r="A26" s="2" t="s">
        <v>27</v>
      </c>
      <c r="B26" s="6">
        <f>IF($M26="Stock",IF(OR($N26="",$N26&lt;=0,$G26&lt;=0),"",$N26*$G26),600)</f>
        <v>600</v>
      </c>
      <c r="C26" s="18" t="str">
        <f>IF($M26="Stock","Buffer Stock / مخزون ستوك","شركة آفاق الأحساء للمقاولات")</f>
        <v>شركة آفاق الأحساء للمقاولات</v>
      </c>
      <c r="D26" s="4" t="s">
        <v>28</v>
      </c>
      <c r="E26" s="5">
        <v>58</v>
      </c>
      <c r="F26" s="4" t="s">
        <v>28</v>
      </c>
      <c r="G26" s="6">
        <v>186</v>
      </c>
      <c r="H26" s="19" t="s">
        <v>26</v>
      </c>
      <c r="I26" s="20" t="s">
        <v>25</v>
      </c>
      <c r="J26" s="7">
        <v>500</v>
      </c>
      <c r="K26" s="7">
        <v>450</v>
      </c>
      <c r="L26" s="2" t="s">
        <v>70</v>
      </c>
      <c r="M26" s="8" t="s">
        <v>24</v>
      </c>
      <c r="N26" s="21"/>
    </row>
    <row r="27" spans="1:14" ht="24" customHeight="1" x14ac:dyDescent="0.25">
      <c r="A27" s="10" t="s">
        <v>102</v>
      </c>
      <c r="B27" s="13">
        <f>IF($M27="Stock",IF(OR($N27="",$N27&lt;=0,$G27&lt;=0),"",$N27*$G27),400)</f>
        <v>224</v>
      </c>
      <c r="C27" s="22" t="str">
        <f>IF($M27="Stock","Buffer Stock / مخزون ستوك","مؤسسة سواحل الدمام للتوريدات")</f>
        <v>Buffer Stock / مخزون ستوك</v>
      </c>
      <c r="D27" s="11" t="s">
        <v>103</v>
      </c>
      <c r="E27" s="12">
        <v>85</v>
      </c>
      <c r="F27" s="11" t="s">
        <v>103</v>
      </c>
      <c r="G27" s="13">
        <v>112</v>
      </c>
      <c r="H27" s="19" t="s">
        <v>26</v>
      </c>
      <c r="I27" s="20" t="s">
        <v>25</v>
      </c>
      <c r="J27" s="7">
        <v>500</v>
      </c>
      <c r="K27" s="7">
        <v>395</v>
      </c>
      <c r="L27" s="10" t="s">
        <v>62</v>
      </c>
      <c r="M27" s="8" t="s">
        <v>57</v>
      </c>
      <c r="N27" s="21">
        <v>2</v>
      </c>
    </row>
    <row r="28" spans="1:14" ht="24" customHeight="1" x14ac:dyDescent="0.25">
      <c r="A28" s="2" t="s">
        <v>104</v>
      </c>
      <c r="B28" s="6">
        <f>IF($M28="Stock",IF(OR($N28="",$N28&lt;=0,$G28&lt;=0),"",$N28*$G28),400)</f>
        <v>400</v>
      </c>
      <c r="C28" s="18" t="str">
        <f>IF($M28="Stock","Buffer Stock / مخزون ستوك","شركة عمران اليمامة للمقاولات")</f>
        <v>شركة عمران اليمامة للمقاولات</v>
      </c>
      <c r="D28" s="4" t="s">
        <v>105</v>
      </c>
      <c r="E28" s="5">
        <v>146</v>
      </c>
      <c r="F28" s="4" t="s">
        <v>105</v>
      </c>
      <c r="G28" s="6">
        <v>74</v>
      </c>
      <c r="H28" s="19" t="s">
        <v>26</v>
      </c>
      <c r="I28" s="20" t="s">
        <v>25</v>
      </c>
      <c r="J28" s="7">
        <v>500</v>
      </c>
      <c r="K28" s="7">
        <v>450</v>
      </c>
      <c r="L28" s="2" t="s">
        <v>106</v>
      </c>
      <c r="M28" s="8" t="s">
        <v>24</v>
      </c>
      <c r="N28" s="21"/>
    </row>
    <row r="29" spans="1:14" ht="24" customHeight="1" x14ac:dyDescent="0.25">
      <c r="A29" s="10" t="s">
        <v>107</v>
      </c>
      <c r="B29" s="13">
        <f>IF($M29="Stock",IF(OR($N29="",$N29&lt;=0,$G29&lt;=0),"",$N29*$G29),400)</f>
        <v>210</v>
      </c>
      <c r="C29" s="22" t="str">
        <f>IF($M29="Stock","Buffer Stock / مخزون ستوك","مؤسسة رواسي جدة لمواد البناء")</f>
        <v>Buffer Stock / مخزون ستوك</v>
      </c>
      <c r="D29" s="11" t="s">
        <v>108</v>
      </c>
      <c r="E29" s="12">
        <v>232</v>
      </c>
      <c r="F29" s="11" t="s">
        <v>108</v>
      </c>
      <c r="G29" s="13">
        <v>42</v>
      </c>
      <c r="H29" s="19" t="s">
        <v>26</v>
      </c>
      <c r="I29" s="20" t="s">
        <v>25</v>
      </c>
      <c r="J29" s="7">
        <v>500</v>
      </c>
      <c r="K29" s="7">
        <v>410</v>
      </c>
      <c r="L29" s="10" t="s">
        <v>106</v>
      </c>
      <c r="M29" s="8" t="s">
        <v>57</v>
      </c>
      <c r="N29" s="21">
        <v>5</v>
      </c>
    </row>
  </sheetData>
  <conditionalFormatting sqref="M2:M29">
    <cfRule type="expression" dxfId="1" priority="2">
      <formula>$M2="Order"</formula>
    </cfRule>
  </conditionalFormatting>
  <conditionalFormatting sqref="M2:N29">
    <cfRule type="expression" dxfId="0" priority="3">
      <formula>$M2="Stock"</formula>
    </cfRule>
  </conditionalFormatting>
  <dataValidations count="2">
    <dataValidation type="list" sqref="M2:M200" xr:uid="{00000000-0002-0000-0100-000000000000}">
      <formula1>"Order,Stock"</formula1>
      <formula2>0</formula2>
    </dataValidation>
    <dataValidation type="decimal" sqref="N2:N200" xr:uid="{00000000-0002-0000-0100-000001000000}">
      <formula1>0</formula1>
      <formula2>365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6"/>
  <sheetViews>
    <sheetView topLeftCell="A2" zoomScaleNormal="100" workbookViewId="0"/>
  </sheetViews>
  <sheetFormatPr defaultColWidth="8.6640625" defaultRowHeight="13.2" x14ac:dyDescent="0.25"/>
  <cols>
    <col min="1" max="1" width="12" customWidth="1"/>
    <col min="2" max="2" width="38" customWidth="1"/>
    <col min="3" max="3" width="14" customWidth="1"/>
    <col min="4" max="4" width="13" customWidth="1"/>
    <col min="5" max="6" width="12" customWidth="1"/>
    <col min="7" max="7" width="11" customWidth="1"/>
    <col min="8" max="8" width="15" customWidth="1"/>
    <col min="9" max="9" width="17.6640625" customWidth="1"/>
    <col min="10" max="10" width="11" customWidth="1"/>
    <col min="11" max="11" width="16" customWidth="1"/>
    <col min="12" max="12" width="11" customWidth="1"/>
    <col min="13" max="13" width="14" customWidth="1"/>
    <col min="14" max="14" width="16" customWidth="1"/>
    <col min="15" max="15" width="11" customWidth="1"/>
    <col min="16" max="16" width="13" customWidth="1"/>
    <col min="17" max="17" width="16" customWidth="1"/>
    <col min="18" max="18" width="11" customWidth="1"/>
    <col min="19" max="19" width="13" customWidth="1"/>
    <col min="20" max="20" width="12" customWidth="1"/>
    <col min="21" max="21" width="15" customWidth="1"/>
    <col min="22" max="22" width="42" customWidth="1"/>
  </cols>
  <sheetData>
    <row r="1" spans="1:22" ht="60" customHeight="1" x14ac:dyDescent="0.25">
      <c r="A1" s="23" t="s">
        <v>109</v>
      </c>
      <c r="B1" s="23" t="s">
        <v>4</v>
      </c>
      <c r="C1" s="23" t="s">
        <v>110</v>
      </c>
      <c r="D1" s="23" t="s">
        <v>111</v>
      </c>
      <c r="E1" s="23" t="s">
        <v>112</v>
      </c>
      <c r="F1" s="23" t="s">
        <v>113</v>
      </c>
      <c r="G1" s="23" t="s">
        <v>114</v>
      </c>
      <c r="H1" s="23" t="s">
        <v>115</v>
      </c>
      <c r="I1" s="23" t="s">
        <v>116</v>
      </c>
      <c r="J1" s="23" t="s">
        <v>117</v>
      </c>
      <c r="K1" s="23" t="s">
        <v>118</v>
      </c>
      <c r="L1" s="23" t="s">
        <v>119</v>
      </c>
      <c r="M1" s="23" t="s">
        <v>120</v>
      </c>
      <c r="N1" s="23" t="s">
        <v>121</v>
      </c>
      <c r="O1" s="23" t="s">
        <v>122</v>
      </c>
      <c r="P1" s="23" t="s">
        <v>123</v>
      </c>
      <c r="Q1" s="23" t="s">
        <v>124</v>
      </c>
      <c r="R1" s="23" t="s">
        <v>125</v>
      </c>
      <c r="S1" s="23" t="s">
        <v>126</v>
      </c>
      <c r="T1" s="23" t="s">
        <v>127</v>
      </c>
      <c r="U1" s="23" t="s">
        <v>128</v>
      </c>
      <c r="V1" s="23" t="s">
        <v>129</v>
      </c>
    </row>
    <row r="2" spans="1:22" ht="24.75" customHeight="1" x14ac:dyDescent="0.25">
      <c r="A2" s="2" t="s">
        <v>54</v>
      </c>
      <c r="B2" s="4" t="s">
        <v>55</v>
      </c>
      <c r="C2" s="2" t="s">
        <v>130</v>
      </c>
      <c r="D2" s="5">
        <v>20</v>
      </c>
      <c r="E2" s="5">
        <v>1.6</v>
      </c>
      <c r="F2" s="5">
        <v>0.55000000000000004</v>
      </c>
      <c r="G2" s="5">
        <v>3</v>
      </c>
      <c r="H2" s="5">
        <v>3340</v>
      </c>
      <c r="I2" s="5">
        <v>76.5416666666667</v>
      </c>
      <c r="J2" s="2" t="s">
        <v>131</v>
      </c>
      <c r="K2" s="24" t="s">
        <v>18</v>
      </c>
      <c r="L2" s="25" t="s">
        <v>17</v>
      </c>
      <c r="M2" s="26">
        <v>135</v>
      </c>
      <c r="N2" s="27" t="s">
        <v>40</v>
      </c>
      <c r="O2" s="27" t="s">
        <v>39</v>
      </c>
      <c r="P2" s="28">
        <v>125</v>
      </c>
      <c r="Q2" s="25" t="s">
        <v>30</v>
      </c>
      <c r="R2" s="25" t="s">
        <v>29</v>
      </c>
      <c r="S2" s="29">
        <v>90</v>
      </c>
      <c r="T2" s="6">
        <v>3</v>
      </c>
      <c r="U2" s="3" t="s">
        <v>132</v>
      </c>
      <c r="V2" s="30" t="s">
        <v>133</v>
      </c>
    </row>
    <row r="3" spans="1:22" ht="24.75" customHeight="1" x14ac:dyDescent="0.25">
      <c r="A3" s="10" t="s">
        <v>134</v>
      </c>
      <c r="B3" s="11" t="s">
        <v>135</v>
      </c>
      <c r="C3" s="10" t="s">
        <v>130</v>
      </c>
      <c r="D3" s="12">
        <v>20</v>
      </c>
      <c r="E3" s="12">
        <v>1.6</v>
      </c>
      <c r="F3" s="12"/>
      <c r="G3" s="12">
        <v>34</v>
      </c>
      <c r="H3" s="12">
        <v>7285.5</v>
      </c>
      <c r="I3" s="12"/>
      <c r="J3" s="10" t="s">
        <v>131</v>
      </c>
      <c r="K3" s="24" t="s">
        <v>30</v>
      </c>
      <c r="L3" s="25" t="s">
        <v>29</v>
      </c>
      <c r="M3" s="26">
        <v>95</v>
      </c>
      <c r="N3" s="27" t="s">
        <v>40</v>
      </c>
      <c r="O3" s="27" t="s">
        <v>39</v>
      </c>
      <c r="P3" s="28">
        <v>135</v>
      </c>
      <c r="Q3" s="25" t="s">
        <v>18</v>
      </c>
      <c r="R3" s="25" t="s">
        <v>17</v>
      </c>
      <c r="S3" s="29">
        <v>170</v>
      </c>
      <c r="T3" s="13">
        <v>3</v>
      </c>
      <c r="U3" s="31" t="s">
        <v>136</v>
      </c>
      <c r="V3" s="32" t="s">
        <v>137</v>
      </c>
    </row>
    <row r="4" spans="1:22" ht="24.75" customHeight="1" x14ac:dyDescent="0.25">
      <c r="A4" s="2" t="s">
        <v>138</v>
      </c>
      <c r="B4" s="4" t="s">
        <v>139</v>
      </c>
      <c r="C4" s="2" t="s">
        <v>130</v>
      </c>
      <c r="D4" s="5">
        <v>21.3</v>
      </c>
      <c r="E4" s="5"/>
      <c r="F4" s="5">
        <v>1.9</v>
      </c>
      <c r="G4" s="5">
        <v>3</v>
      </c>
      <c r="H4" s="5">
        <v>840</v>
      </c>
      <c r="I4" s="5">
        <v>66.5</v>
      </c>
      <c r="J4" s="2" t="s">
        <v>131</v>
      </c>
      <c r="K4" s="24" t="s">
        <v>30</v>
      </c>
      <c r="L4" s="25" t="s">
        <v>29</v>
      </c>
      <c r="M4" s="26">
        <v>85</v>
      </c>
      <c r="N4" s="27" t="s">
        <v>40</v>
      </c>
      <c r="O4" s="27" t="s">
        <v>39</v>
      </c>
      <c r="P4" s="28">
        <v>120</v>
      </c>
      <c r="Q4" s="25" t="s">
        <v>18</v>
      </c>
      <c r="R4" s="25" t="s">
        <v>17</v>
      </c>
      <c r="S4" s="29">
        <v>130</v>
      </c>
      <c r="T4" s="6">
        <v>3</v>
      </c>
      <c r="U4" s="33" t="s">
        <v>140</v>
      </c>
      <c r="V4" s="30" t="s">
        <v>133</v>
      </c>
    </row>
    <row r="5" spans="1:22" ht="24.75" customHeight="1" x14ac:dyDescent="0.25">
      <c r="A5" s="10" t="s">
        <v>141</v>
      </c>
      <c r="B5" s="11" t="s">
        <v>142</v>
      </c>
      <c r="C5" s="10" t="s">
        <v>143</v>
      </c>
      <c r="D5" s="12">
        <v>21.3</v>
      </c>
      <c r="E5" s="12"/>
      <c r="F5" s="12">
        <v>2</v>
      </c>
      <c r="G5" s="12">
        <v>3</v>
      </c>
      <c r="H5" s="12">
        <v>666.66666666666697</v>
      </c>
      <c r="I5" s="12">
        <v>55.5555555555556</v>
      </c>
      <c r="J5" s="10" t="s">
        <v>131</v>
      </c>
      <c r="K5" s="24" t="s">
        <v>30</v>
      </c>
      <c r="L5" s="25" t="s">
        <v>29</v>
      </c>
      <c r="M5" s="26">
        <v>85</v>
      </c>
      <c r="N5" s="27" t="s">
        <v>40</v>
      </c>
      <c r="O5" s="27" t="s">
        <v>39</v>
      </c>
      <c r="P5" s="28">
        <v>115</v>
      </c>
      <c r="Q5" s="25" t="s">
        <v>18</v>
      </c>
      <c r="R5" s="25" t="s">
        <v>17</v>
      </c>
      <c r="S5" s="29">
        <v>125</v>
      </c>
      <c r="T5" s="13">
        <v>3</v>
      </c>
      <c r="U5" s="31" t="s">
        <v>136</v>
      </c>
      <c r="V5" s="32" t="s">
        <v>144</v>
      </c>
    </row>
    <row r="6" spans="1:22" ht="24.75" customHeight="1" x14ac:dyDescent="0.25">
      <c r="A6" s="2" t="s">
        <v>58</v>
      </c>
      <c r="B6" s="4" t="s">
        <v>59</v>
      </c>
      <c r="C6" s="2" t="s">
        <v>130</v>
      </c>
      <c r="D6" s="5">
        <v>25</v>
      </c>
      <c r="E6" s="5">
        <v>1.9</v>
      </c>
      <c r="F6" s="5">
        <v>0.56000000000000005</v>
      </c>
      <c r="G6" s="5">
        <v>228</v>
      </c>
      <c r="H6" s="5">
        <v>14230</v>
      </c>
      <c r="I6" s="5">
        <v>332.03333333333302</v>
      </c>
      <c r="J6" s="2" t="s">
        <v>131</v>
      </c>
      <c r="K6" s="24" t="s">
        <v>18</v>
      </c>
      <c r="L6" s="25" t="s">
        <v>17</v>
      </c>
      <c r="M6" s="26">
        <v>180</v>
      </c>
      <c r="N6" s="27" t="s">
        <v>40</v>
      </c>
      <c r="O6" s="27" t="s">
        <v>39</v>
      </c>
      <c r="P6" s="28">
        <v>135</v>
      </c>
      <c r="Q6" s="25" t="s">
        <v>30</v>
      </c>
      <c r="R6" s="25" t="s">
        <v>29</v>
      </c>
      <c r="S6" s="29">
        <v>115</v>
      </c>
      <c r="T6" s="6">
        <v>3</v>
      </c>
      <c r="U6" s="3" t="s">
        <v>132</v>
      </c>
      <c r="V6" s="30" t="s">
        <v>133</v>
      </c>
    </row>
    <row r="7" spans="1:22" ht="24.75" customHeight="1" x14ac:dyDescent="0.25">
      <c r="A7" s="10" t="s">
        <v>145</v>
      </c>
      <c r="B7" s="11" t="s">
        <v>146</v>
      </c>
      <c r="C7" s="10" t="s">
        <v>130</v>
      </c>
      <c r="D7" s="12">
        <v>25</v>
      </c>
      <c r="E7" s="12">
        <v>1.9</v>
      </c>
      <c r="F7" s="12">
        <v>0.65</v>
      </c>
      <c r="G7" s="12">
        <v>13</v>
      </c>
      <c r="H7" s="12">
        <v>3415.3846153846198</v>
      </c>
      <c r="I7" s="12">
        <v>92.5</v>
      </c>
      <c r="J7" s="10" t="s">
        <v>131</v>
      </c>
      <c r="K7" s="24" t="s">
        <v>18</v>
      </c>
      <c r="L7" s="25" t="s">
        <v>17</v>
      </c>
      <c r="M7" s="26">
        <v>140</v>
      </c>
      <c r="N7" s="27" t="s">
        <v>40</v>
      </c>
      <c r="O7" s="27" t="s">
        <v>39</v>
      </c>
      <c r="P7" s="28">
        <v>130</v>
      </c>
      <c r="Q7" s="25" t="s">
        <v>30</v>
      </c>
      <c r="R7" s="25" t="s">
        <v>29</v>
      </c>
      <c r="S7" s="29">
        <v>90</v>
      </c>
      <c r="T7" s="13">
        <v>3</v>
      </c>
      <c r="U7" s="3" t="s">
        <v>132</v>
      </c>
      <c r="V7" s="32" t="s">
        <v>133</v>
      </c>
    </row>
    <row r="8" spans="1:22" ht="24.75" customHeight="1" x14ac:dyDescent="0.25">
      <c r="A8" s="2" t="s">
        <v>147</v>
      </c>
      <c r="B8" s="4" t="s">
        <v>148</v>
      </c>
      <c r="C8" s="2" t="s">
        <v>130</v>
      </c>
      <c r="D8" s="5">
        <v>25</v>
      </c>
      <c r="E8" s="5">
        <v>1.5</v>
      </c>
      <c r="F8" s="5">
        <v>1.1000000000000001</v>
      </c>
      <c r="G8" s="5">
        <v>27</v>
      </c>
      <c r="H8" s="5">
        <v>1697.6</v>
      </c>
      <c r="I8" s="5">
        <v>77.8066666666667</v>
      </c>
      <c r="J8" s="2" t="s">
        <v>131</v>
      </c>
      <c r="K8" s="34" t="s">
        <v>30</v>
      </c>
      <c r="L8" s="35" t="s">
        <v>29</v>
      </c>
      <c r="M8" s="36">
        <v>73</v>
      </c>
      <c r="N8" s="27" t="s">
        <v>40</v>
      </c>
      <c r="O8" s="27" t="s">
        <v>39</v>
      </c>
      <c r="P8" s="28">
        <v>125</v>
      </c>
      <c r="Q8" s="25" t="s">
        <v>18</v>
      </c>
      <c r="R8" s="25" t="s">
        <v>17</v>
      </c>
      <c r="S8" s="29">
        <v>135</v>
      </c>
      <c r="T8" s="6">
        <v>3</v>
      </c>
      <c r="U8" s="3" t="s">
        <v>132</v>
      </c>
      <c r="V8" s="30" t="s">
        <v>133</v>
      </c>
    </row>
    <row r="9" spans="1:22" ht="24.75" customHeight="1" x14ac:dyDescent="0.25">
      <c r="A9" s="10" t="s">
        <v>149</v>
      </c>
      <c r="B9" s="11" t="s">
        <v>150</v>
      </c>
      <c r="C9" s="10" t="s">
        <v>130</v>
      </c>
      <c r="D9" s="12">
        <v>25</v>
      </c>
      <c r="E9" s="12">
        <v>1.9</v>
      </c>
      <c r="F9" s="12">
        <v>1.5</v>
      </c>
      <c r="G9" s="12">
        <v>5</v>
      </c>
      <c r="H9" s="12">
        <v>1348</v>
      </c>
      <c r="I9" s="12">
        <v>84.25</v>
      </c>
      <c r="J9" s="10" t="s">
        <v>131</v>
      </c>
      <c r="K9" s="24" t="s">
        <v>30</v>
      </c>
      <c r="L9" s="25" t="s">
        <v>29</v>
      </c>
      <c r="M9" s="26">
        <v>90</v>
      </c>
      <c r="N9" s="27" t="s">
        <v>40</v>
      </c>
      <c r="O9" s="27" t="s">
        <v>39</v>
      </c>
      <c r="P9" s="28">
        <v>125</v>
      </c>
      <c r="Q9" s="25" t="s">
        <v>18</v>
      </c>
      <c r="R9" s="25" t="s">
        <v>17</v>
      </c>
      <c r="S9" s="29">
        <v>135</v>
      </c>
      <c r="T9" s="13">
        <v>3</v>
      </c>
      <c r="U9" s="33" t="s">
        <v>140</v>
      </c>
      <c r="V9" s="32" t="s">
        <v>133</v>
      </c>
    </row>
    <row r="10" spans="1:22" ht="24.75" customHeight="1" x14ac:dyDescent="0.25">
      <c r="A10" s="2" t="s">
        <v>151</v>
      </c>
      <c r="B10" s="4" t="s">
        <v>152</v>
      </c>
      <c r="C10" s="2" t="s">
        <v>130</v>
      </c>
      <c r="D10" s="5">
        <v>26.7</v>
      </c>
      <c r="E10" s="5"/>
      <c r="F10" s="5">
        <v>1.6</v>
      </c>
      <c r="G10" s="5">
        <v>37</v>
      </c>
      <c r="H10" s="5">
        <v>1601</v>
      </c>
      <c r="I10" s="5">
        <v>106.73333333333299</v>
      </c>
      <c r="J10" s="2" t="s">
        <v>131</v>
      </c>
      <c r="K10" s="34" t="s">
        <v>30</v>
      </c>
      <c r="L10" s="35" t="s">
        <v>29</v>
      </c>
      <c r="M10" s="36">
        <v>101</v>
      </c>
      <c r="N10" s="27" t="s">
        <v>40</v>
      </c>
      <c r="O10" s="27" t="s">
        <v>39</v>
      </c>
      <c r="P10" s="28">
        <v>130</v>
      </c>
      <c r="Q10" s="25" t="s">
        <v>18</v>
      </c>
      <c r="R10" s="25" t="s">
        <v>17</v>
      </c>
      <c r="S10" s="29">
        <v>145</v>
      </c>
      <c r="T10" s="6">
        <v>3</v>
      </c>
      <c r="U10" s="3" t="s">
        <v>132</v>
      </c>
      <c r="V10" s="30" t="s">
        <v>133</v>
      </c>
    </row>
    <row r="11" spans="1:22" ht="24.75" customHeight="1" x14ac:dyDescent="0.25">
      <c r="A11" s="10" t="s">
        <v>153</v>
      </c>
      <c r="B11" s="11" t="s">
        <v>154</v>
      </c>
      <c r="C11" s="10" t="s">
        <v>130</v>
      </c>
      <c r="D11" s="12">
        <v>26.7</v>
      </c>
      <c r="E11" s="12"/>
      <c r="F11" s="12">
        <v>2.5</v>
      </c>
      <c r="G11" s="12">
        <v>5</v>
      </c>
      <c r="H11" s="12">
        <v>884</v>
      </c>
      <c r="I11" s="12">
        <v>92.0833333333333</v>
      </c>
      <c r="J11" s="10" t="s">
        <v>131</v>
      </c>
      <c r="K11" s="24" t="s">
        <v>30</v>
      </c>
      <c r="L11" s="25" t="s">
        <v>29</v>
      </c>
      <c r="M11" s="26">
        <v>100</v>
      </c>
      <c r="N11" s="27" t="s">
        <v>40</v>
      </c>
      <c r="O11" s="27" t="s">
        <v>39</v>
      </c>
      <c r="P11" s="28">
        <v>130</v>
      </c>
      <c r="Q11" s="25" t="s">
        <v>18</v>
      </c>
      <c r="R11" s="25" t="s">
        <v>17</v>
      </c>
      <c r="S11" s="29">
        <v>140</v>
      </c>
      <c r="T11" s="13">
        <v>3</v>
      </c>
      <c r="U11" s="33" t="s">
        <v>140</v>
      </c>
      <c r="V11" s="32" t="s">
        <v>133</v>
      </c>
    </row>
    <row r="12" spans="1:22" ht="24.75" customHeight="1" x14ac:dyDescent="0.25">
      <c r="A12" s="2" t="s">
        <v>60</v>
      </c>
      <c r="B12" s="4" t="s">
        <v>61</v>
      </c>
      <c r="C12" s="2" t="s">
        <v>130</v>
      </c>
      <c r="D12" s="5">
        <v>26.7</v>
      </c>
      <c r="E12" s="5"/>
      <c r="F12" s="5">
        <v>2.75</v>
      </c>
      <c r="G12" s="5">
        <v>16</v>
      </c>
      <c r="H12" s="5">
        <v>1251.875</v>
      </c>
      <c r="I12" s="5">
        <v>143.444010416667</v>
      </c>
      <c r="J12" s="2" t="s">
        <v>131</v>
      </c>
      <c r="K12" s="24" t="s">
        <v>30</v>
      </c>
      <c r="L12" s="25" t="s">
        <v>29</v>
      </c>
      <c r="M12" s="26">
        <v>115</v>
      </c>
      <c r="N12" s="27" t="s">
        <v>40</v>
      </c>
      <c r="O12" s="27" t="s">
        <v>39</v>
      </c>
      <c r="P12" s="28">
        <v>135</v>
      </c>
      <c r="Q12" s="25" t="s">
        <v>18</v>
      </c>
      <c r="R12" s="25" t="s">
        <v>17</v>
      </c>
      <c r="S12" s="29">
        <v>160</v>
      </c>
      <c r="T12" s="6">
        <v>3</v>
      </c>
      <c r="U12" s="3" t="s">
        <v>132</v>
      </c>
      <c r="V12" s="30" t="s">
        <v>133</v>
      </c>
    </row>
    <row r="13" spans="1:22" ht="24.75" customHeight="1" x14ac:dyDescent="0.25">
      <c r="A13" s="10" t="s">
        <v>155</v>
      </c>
      <c r="B13" s="11" t="s">
        <v>156</v>
      </c>
      <c r="C13" s="10" t="s">
        <v>130</v>
      </c>
      <c r="D13" s="12">
        <v>32</v>
      </c>
      <c r="E13" s="12">
        <v>2.1</v>
      </c>
      <c r="F13" s="12">
        <v>0.83</v>
      </c>
      <c r="G13" s="12">
        <v>17</v>
      </c>
      <c r="H13" s="12">
        <v>3284.1176470588198</v>
      </c>
      <c r="I13" s="12">
        <v>113.575735294118</v>
      </c>
      <c r="J13" s="10" t="s">
        <v>131</v>
      </c>
      <c r="K13" s="24" t="s">
        <v>18</v>
      </c>
      <c r="L13" s="25" t="s">
        <v>17</v>
      </c>
      <c r="M13" s="26">
        <v>145</v>
      </c>
      <c r="N13" s="27" t="s">
        <v>40</v>
      </c>
      <c r="O13" s="27" t="s">
        <v>39</v>
      </c>
      <c r="P13" s="28">
        <v>135</v>
      </c>
      <c r="Q13" s="25" t="s">
        <v>30</v>
      </c>
      <c r="R13" s="25" t="s">
        <v>29</v>
      </c>
      <c r="S13" s="29">
        <v>110</v>
      </c>
      <c r="T13" s="13">
        <v>3</v>
      </c>
      <c r="U13" s="3" t="s">
        <v>132</v>
      </c>
      <c r="V13" s="32" t="s">
        <v>133</v>
      </c>
    </row>
    <row r="14" spans="1:22" ht="24.75" customHeight="1" x14ac:dyDescent="0.25">
      <c r="A14" s="2" t="s">
        <v>157</v>
      </c>
      <c r="B14" s="4" t="s">
        <v>158</v>
      </c>
      <c r="C14" s="2" t="s">
        <v>130</v>
      </c>
      <c r="D14" s="5">
        <v>32</v>
      </c>
      <c r="E14" s="5">
        <v>1.6</v>
      </c>
      <c r="F14" s="5">
        <v>1.58</v>
      </c>
      <c r="G14" s="5">
        <v>22</v>
      </c>
      <c r="H14" s="5">
        <v>1240.1500000000001</v>
      </c>
      <c r="I14" s="5">
        <v>81.643208333333305</v>
      </c>
      <c r="J14" s="2" t="s">
        <v>131</v>
      </c>
      <c r="K14" s="34" t="s">
        <v>30</v>
      </c>
      <c r="L14" s="35" t="s">
        <v>29</v>
      </c>
      <c r="M14" s="36">
        <v>115</v>
      </c>
      <c r="N14" s="27" t="s">
        <v>40</v>
      </c>
      <c r="O14" s="27" t="s">
        <v>39</v>
      </c>
      <c r="P14" s="28">
        <v>125</v>
      </c>
      <c r="Q14" s="25" t="s">
        <v>18</v>
      </c>
      <c r="R14" s="25" t="s">
        <v>17</v>
      </c>
      <c r="S14" s="29">
        <v>135</v>
      </c>
      <c r="T14" s="6">
        <v>3</v>
      </c>
      <c r="U14" s="3" t="s">
        <v>132</v>
      </c>
      <c r="V14" s="30" t="s">
        <v>133</v>
      </c>
    </row>
    <row r="15" spans="1:22" ht="24.75" customHeight="1" x14ac:dyDescent="0.25">
      <c r="A15" s="10" t="s">
        <v>159</v>
      </c>
      <c r="B15" s="11" t="s">
        <v>160</v>
      </c>
      <c r="C15" s="10" t="s">
        <v>130</v>
      </c>
      <c r="D15" s="12">
        <v>32</v>
      </c>
      <c r="E15" s="12">
        <v>2.4</v>
      </c>
      <c r="F15" s="12">
        <v>2.1</v>
      </c>
      <c r="G15" s="12">
        <v>11</v>
      </c>
      <c r="H15" s="12">
        <v>1001.90909090909</v>
      </c>
      <c r="I15" s="12">
        <v>87.667045454545502</v>
      </c>
      <c r="J15" s="10" t="s">
        <v>131</v>
      </c>
      <c r="K15" s="24" t="s">
        <v>30</v>
      </c>
      <c r="L15" s="25" t="s">
        <v>29</v>
      </c>
      <c r="M15" s="26">
        <v>110</v>
      </c>
      <c r="N15" s="27" t="s">
        <v>40</v>
      </c>
      <c r="O15" s="27" t="s">
        <v>39</v>
      </c>
      <c r="P15" s="28">
        <v>125</v>
      </c>
      <c r="Q15" s="25" t="s">
        <v>18</v>
      </c>
      <c r="R15" s="25" t="s">
        <v>17</v>
      </c>
      <c r="S15" s="29">
        <v>135</v>
      </c>
      <c r="T15" s="13">
        <v>3</v>
      </c>
      <c r="U15" s="3" t="s">
        <v>132</v>
      </c>
      <c r="V15" s="32" t="s">
        <v>133</v>
      </c>
    </row>
    <row r="16" spans="1:22" ht="24.75" customHeight="1" x14ac:dyDescent="0.25">
      <c r="A16" s="2" t="s">
        <v>63</v>
      </c>
      <c r="B16" s="4" t="s">
        <v>64</v>
      </c>
      <c r="C16" s="2" t="s">
        <v>130</v>
      </c>
      <c r="D16" s="5">
        <v>33.4</v>
      </c>
      <c r="E16" s="5"/>
      <c r="F16" s="5">
        <v>2.8</v>
      </c>
      <c r="G16" s="5">
        <v>49</v>
      </c>
      <c r="H16" s="5">
        <v>1517</v>
      </c>
      <c r="I16" s="5">
        <v>176.98333333333301</v>
      </c>
      <c r="J16" s="2" t="s">
        <v>131</v>
      </c>
      <c r="K16" s="34" t="s">
        <v>30</v>
      </c>
      <c r="L16" s="35" t="s">
        <v>29</v>
      </c>
      <c r="M16" s="36">
        <v>143</v>
      </c>
      <c r="N16" s="27" t="s">
        <v>40</v>
      </c>
      <c r="O16" s="27" t="s">
        <v>39</v>
      </c>
      <c r="P16" s="28">
        <v>135</v>
      </c>
      <c r="Q16" s="25" t="s">
        <v>18</v>
      </c>
      <c r="R16" s="25" t="s">
        <v>17</v>
      </c>
      <c r="S16" s="29">
        <v>165</v>
      </c>
      <c r="T16" s="6">
        <v>3</v>
      </c>
      <c r="U16" s="3" t="s">
        <v>132</v>
      </c>
      <c r="V16" s="30" t="s">
        <v>133</v>
      </c>
    </row>
    <row r="17" spans="1:22" ht="24.75" customHeight="1" x14ac:dyDescent="0.25">
      <c r="A17" s="10" t="s">
        <v>68</v>
      </c>
      <c r="B17" s="11" t="s">
        <v>69</v>
      </c>
      <c r="C17" s="10" t="s">
        <v>130</v>
      </c>
      <c r="D17" s="12">
        <v>33.4</v>
      </c>
      <c r="E17" s="12"/>
      <c r="F17" s="12">
        <v>3.5</v>
      </c>
      <c r="G17" s="12">
        <v>21</v>
      </c>
      <c r="H17" s="12">
        <v>960.5</v>
      </c>
      <c r="I17" s="12">
        <v>140.072916666667</v>
      </c>
      <c r="J17" s="10" t="s">
        <v>131</v>
      </c>
      <c r="K17" s="24" t="s">
        <v>30</v>
      </c>
      <c r="L17" s="25" t="s">
        <v>29</v>
      </c>
      <c r="M17" s="26">
        <v>135</v>
      </c>
      <c r="N17" s="27" t="s">
        <v>40</v>
      </c>
      <c r="O17" s="27" t="s">
        <v>39</v>
      </c>
      <c r="P17" s="28">
        <v>135</v>
      </c>
      <c r="Q17" s="25" t="s">
        <v>18</v>
      </c>
      <c r="R17" s="25" t="s">
        <v>17</v>
      </c>
      <c r="S17" s="29">
        <v>150</v>
      </c>
      <c r="T17" s="13">
        <v>3</v>
      </c>
      <c r="U17" s="3" t="s">
        <v>132</v>
      </c>
      <c r="V17" s="32" t="s">
        <v>133</v>
      </c>
    </row>
    <row r="18" spans="1:22" ht="24.75" customHeight="1" x14ac:dyDescent="0.25">
      <c r="A18" s="2" t="s">
        <v>161</v>
      </c>
      <c r="B18" s="4" t="s">
        <v>162</v>
      </c>
      <c r="C18" s="2" t="s">
        <v>130</v>
      </c>
      <c r="D18" s="5">
        <v>33.4</v>
      </c>
      <c r="E18" s="5"/>
      <c r="F18" s="5">
        <v>3.5</v>
      </c>
      <c r="G18" s="5">
        <v>10</v>
      </c>
      <c r="H18" s="5">
        <v>801</v>
      </c>
      <c r="I18" s="5">
        <v>116.8125</v>
      </c>
      <c r="J18" s="2" t="s">
        <v>131</v>
      </c>
      <c r="K18" s="24" t="s">
        <v>30</v>
      </c>
      <c r="L18" s="25" t="s">
        <v>29</v>
      </c>
      <c r="M18" s="26">
        <v>125</v>
      </c>
      <c r="N18" s="27" t="s">
        <v>40</v>
      </c>
      <c r="O18" s="27" t="s">
        <v>39</v>
      </c>
      <c r="P18" s="28">
        <v>135</v>
      </c>
      <c r="Q18" s="25" t="s">
        <v>18</v>
      </c>
      <c r="R18" s="25" t="s">
        <v>17</v>
      </c>
      <c r="S18" s="29">
        <v>145</v>
      </c>
      <c r="T18" s="6">
        <v>3</v>
      </c>
      <c r="U18" s="3" t="s">
        <v>132</v>
      </c>
      <c r="V18" s="30" t="s">
        <v>133</v>
      </c>
    </row>
    <row r="19" spans="1:22" ht="24.75" customHeight="1" x14ac:dyDescent="0.25">
      <c r="A19" s="10" t="s">
        <v>163</v>
      </c>
      <c r="B19" s="11" t="s">
        <v>164</v>
      </c>
      <c r="C19" s="10" t="s">
        <v>130</v>
      </c>
      <c r="D19" s="12">
        <v>48.3</v>
      </c>
      <c r="E19" s="12"/>
      <c r="F19" s="12">
        <v>3.7</v>
      </c>
      <c r="G19" s="12">
        <v>10</v>
      </c>
      <c r="H19" s="12">
        <v>702.3</v>
      </c>
      <c r="I19" s="12">
        <v>108.27124999999999</v>
      </c>
      <c r="J19" s="10" t="s">
        <v>131</v>
      </c>
      <c r="K19" s="24" t="s">
        <v>40</v>
      </c>
      <c r="L19" s="25" t="s">
        <v>39</v>
      </c>
      <c r="M19" s="26">
        <v>130</v>
      </c>
      <c r="N19" s="27" t="s">
        <v>30</v>
      </c>
      <c r="O19" s="27" t="s">
        <v>29</v>
      </c>
      <c r="P19" s="28">
        <v>120</v>
      </c>
      <c r="Q19" s="25" t="s">
        <v>18</v>
      </c>
      <c r="R19" s="25" t="s">
        <v>17</v>
      </c>
      <c r="S19" s="29">
        <v>140</v>
      </c>
      <c r="T19" s="13">
        <v>3</v>
      </c>
      <c r="U19" s="3" t="s">
        <v>132</v>
      </c>
      <c r="V19" s="32" t="s">
        <v>133</v>
      </c>
    </row>
    <row r="20" spans="1:22" ht="24.75" customHeight="1" x14ac:dyDescent="0.25">
      <c r="A20" s="2" t="s">
        <v>73</v>
      </c>
      <c r="B20" s="4" t="s">
        <v>74</v>
      </c>
      <c r="C20" s="2" t="s">
        <v>130</v>
      </c>
      <c r="D20" s="5">
        <v>48.3</v>
      </c>
      <c r="E20" s="5"/>
      <c r="F20" s="5">
        <v>6.6</v>
      </c>
      <c r="G20" s="5">
        <v>12</v>
      </c>
      <c r="H20" s="5">
        <v>387.33333333333297</v>
      </c>
      <c r="I20" s="5">
        <v>106.51666666666701</v>
      </c>
      <c r="J20" s="2" t="s">
        <v>131</v>
      </c>
      <c r="K20" s="24" t="s">
        <v>40</v>
      </c>
      <c r="L20" s="25" t="s">
        <v>39</v>
      </c>
      <c r="M20" s="26">
        <v>130</v>
      </c>
      <c r="N20" s="27" t="s">
        <v>30</v>
      </c>
      <c r="O20" s="27" t="s">
        <v>29</v>
      </c>
      <c r="P20" s="28">
        <v>120</v>
      </c>
      <c r="Q20" s="25" t="s">
        <v>18</v>
      </c>
      <c r="R20" s="25" t="s">
        <v>17</v>
      </c>
      <c r="S20" s="29">
        <v>140</v>
      </c>
      <c r="T20" s="6">
        <v>3</v>
      </c>
      <c r="U20" s="3" t="s">
        <v>132</v>
      </c>
      <c r="V20" s="30" t="s">
        <v>133</v>
      </c>
    </row>
    <row r="21" spans="1:22" ht="24.75" customHeight="1" x14ac:dyDescent="0.25">
      <c r="A21" s="10" t="s">
        <v>165</v>
      </c>
      <c r="B21" s="11" t="s">
        <v>166</v>
      </c>
      <c r="C21" s="10" t="s">
        <v>130</v>
      </c>
      <c r="D21" s="12">
        <v>48.3</v>
      </c>
      <c r="E21" s="12"/>
      <c r="F21" s="12">
        <v>6.6</v>
      </c>
      <c r="G21" s="12">
        <v>2</v>
      </c>
      <c r="H21" s="12">
        <v>253.5</v>
      </c>
      <c r="I21" s="12">
        <v>69.712500000000006</v>
      </c>
      <c r="J21" s="10" t="s">
        <v>131</v>
      </c>
      <c r="K21" s="24" t="s">
        <v>40</v>
      </c>
      <c r="L21" s="25" t="s">
        <v>39</v>
      </c>
      <c r="M21" s="26">
        <v>120</v>
      </c>
      <c r="N21" s="27" t="s">
        <v>30</v>
      </c>
      <c r="O21" s="27" t="s">
        <v>29</v>
      </c>
      <c r="P21" s="28">
        <v>105</v>
      </c>
      <c r="Q21" s="25" t="s">
        <v>18</v>
      </c>
      <c r="R21" s="25" t="s">
        <v>17</v>
      </c>
      <c r="S21" s="29">
        <v>125</v>
      </c>
      <c r="T21" s="13">
        <v>3</v>
      </c>
      <c r="U21" s="33" t="s">
        <v>140</v>
      </c>
      <c r="V21" s="32" t="s">
        <v>133</v>
      </c>
    </row>
    <row r="22" spans="1:22" ht="24.75" customHeight="1" x14ac:dyDescent="0.25">
      <c r="A22" s="2" t="s">
        <v>167</v>
      </c>
      <c r="B22" s="4" t="s">
        <v>168</v>
      </c>
      <c r="C22" s="2" t="s">
        <v>130</v>
      </c>
      <c r="D22" s="5">
        <v>50</v>
      </c>
      <c r="E22" s="5"/>
      <c r="F22" s="5">
        <v>2.15</v>
      </c>
      <c r="G22" s="5">
        <v>1</v>
      </c>
      <c r="H22" s="5">
        <v>1040</v>
      </c>
      <c r="I22" s="5">
        <v>93.1666666666667</v>
      </c>
      <c r="J22" s="2" t="s">
        <v>131</v>
      </c>
      <c r="K22" s="24" t="s">
        <v>40</v>
      </c>
      <c r="L22" s="25" t="s">
        <v>39</v>
      </c>
      <c r="M22" s="26">
        <v>125</v>
      </c>
      <c r="N22" s="27" t="s">
        <v>30</v>
      </c>
      <c r="O22" s="27" t="s">
        <v>29</v>
      </c>
      <c r="P22" s="28">
        <v>115</v>
      </c>
      <c r="Q22" s="25" t="s">
        <v>18</v>
      </c>
      <c r="R22" s="25" t="s">
        <v>17</v>
      </c>
      <c r="S22" s="29">
        <v>135</v>
      </c>
      <c r="T22" s="6">
        <v>3</v>
      </c>
      <c r="U22" s="33" t="s">
        <v>140</v>
      </c>
      <c r="V22" s="30" t="s">
        <v>133</v>
      </c>
    </row>
    <row r="23" spans="1:22" ht="24.75" customHeight="1" x14ac:dyDescent="0.25">
      <c r="A23" s="10" t="s">
        <v>169</v>
      </c>
      <c r="B23" s="11" t="s">
        <v>170</v>
      </c>
      <c r="C23" s="10" t="s">
        <v>130</v>
      </c>
      <c r="D23" s="12">
        <v>50</v>
      </c>
      <c r="E23" s="12">
        <v>1.6</v>
      </c>
      <c r="F23" s="12">
        <v>2.2000000000000002</v>
      </c>
      <c r="G23" s="12">
        <v>26</v>
      </c>
      <c r="H23" s="12">
        <v>1150</v>
      </c>
      <c r="I23" s="12">
        <v>105.416666666667</v>
      </c>
      <c r="J23" s="10" t="s">
        <v>131</v>
      </c>
      <c r="K23" s="24" t="s">
        <v>40</v>
      </c>
      <c r="L23" s="25" t="s">
        <v>39</v>
      </c>
      <c r="M23" s="26">
        <v>130</v>
      </c>
      <c r="N23" s="27" t="s">
        <v>30</v>
      </c>
      <c r="O23" s="27" t="s">
        <v>29</v>
      </c>
      <c r="P23" s="28">
        <v>115</v>
      </c>
      <c r="Q23" s="25" t="s">
        <v>18</v>
      </c>
      <c r="R23" s="25" t="s">
        <v>17</v>
      </c>
      <c r="S23" s="29">
        <v>140</v>
      </c>
      <c r="T23" s="13">
        <v>3</v>
      </c>
      <c r="U23" s="3" t="s">
        <v>132</v>
      </c>
      <c r="V23" s="32" t="s">
        <v>133</v>
      </c>
    </row>
    <row r="24" spans="1:22" ht="24.75" customHeight="1" x14ac:dyDescent="0.25">
      <c r="A24" s="2" t="s">
        <v>171</v>
      </c>
      <c r="B24" s="4" t="s">
        <v>172</v>
      </c>
      <c r="C24" s="2" t="s">
        <v>130</v>
      </c>
      <c r="D24" s="5">
        <v>50</v>
      </c>
      <c r="E24" s="5">
        <v>2.4</v>
      </c>
      <c r="F24" s="5">
        <v>3.8</v>
      </c>
      <c r="G24" s="5">
        <v>150</v>
      </c>
      <c r="H24" s="5">
        <v>1755.65</v>
      </c>
      <c r="I24" s="5">
        <v>277.977916666667</v>
      </c>
      <c r="J24" s="2" t="s">
        <v>131</v>
      </c>
      <c r="K24" s="34" t="s">
        <v>40</v>
      </c>
      <c r="L24" s="35" t="s">
        <v>39</v>
      </c>
      <c r="M24" s="36">
        <v>135</v>
      </c>
      <c r="N24" s="27" t="s">
        <v>30</v>
      </c>
      <c r="O24" s="27" t="s">
        <v>29</v>
      </c>
      <c r="P24" s="28">
        <v>140</v>
      </c>
      <c r="Q24" s="25" t="s">
        <v>18</v>
      </c>
      <c r="R24" s="25" t="s">
        <v>17</v>
      </c>
      <c r="S24" s="29">
        <v>175</v>
      </c>
      <c r="T24" s="6">
        <v>3</v>
      </c>
      <c r="U24" s="3" t="s">
        <v>132</v>
      </c>
      <c r="V24" s="30" t="s">
        <v>133</v>
      </c>
    </row>
    <row r="25" spans="1:22" ht="24.75" customHeight="1" x14ac:dyDescent="0.25">
      <c r="A25" s="10" t="s">
        <v>173</v>
      </c>
      <c r="B25" s="11" t="s">
        <v>174</v>
      </c>
      <c r="C25" s="10" t="s">
        <v>130</v>
      </c>
      <c r="D25" s="12">
        <v>50</v>
      </c>
      <c r="E25" s="12">
        <v>3.7</v>
      </c>
      <c r="F25" s="12">
        <v>5</v>
      </c>
      <c r="G25" s="12">
        <v>3</v>
      </c>
      <c r="H25" s="12">
        <v>336.66666666666703</v>
      </c>
      <c r="I25" s="12">
        <v>70.1388888888889</v>
      </c>
      <c r="J25" s="10" t="s">
        <v>131</v>
      </c>
      <c r="K25" s="24" t="s">
        <v>40</v>
      </c>
      <c r="L25" s="25" t="s">
        <v>39</v>
      </c>
      <c r="M25" s="26">
        <v>120</v>
      </c>
      <c r="N25" s="27" t="s">
        <v>30</v>
      </c>
      <c r="O25" s="27" t="s">
        <v>29</v>
      </c>
      <c r="P25" s="28">
        <v>105</v>
      </c>
      <c r="Q25" s="25" t="s">
        <v>18</v>
      </c>
      <c r="R25" s="25" t="s">
        <v>17</v>
      </c>
      <c r="S25" s="29">
        <v>125</v>
      </c>
      <c r="T25" s="13">
        <v>3</v>
      </c>
      <c r="U25" s="33" t="s">
        <v>140</v>
      </c>
      <c r="V25" s="32" t="s">
        <v>133</v>
      </c>
    </row>
    <row r="26" spans="1:22" ht="24.75" customHeight="1" x14ac:dyDescent="0.25">
      <c r="A26" s="2" t="s">
        <v>175</v>
      </c>
      <c r="B26" s="4" t="s">
        <v>176</v>
      </c>
      <c r="C26" s="2" t="s">
        <v>130</v>
      </c>
      <c r="D26" s="5">
        <v>50</v>
      </c>
      <c r="E26" s="5">
        <v>3.2</v>
      </c>
      <c r="F26" s="5"/>
      <c r="G26" s="5">
        <v>5</v>
      </c>
      <c r="H26" s="5">
        <v>815</v>
      </c>
      <c r="I26" s="5"/>
      <c r="J26" s="2" t="s">
        <v>131</v>
      </c>
      <c r="K26" s="24" t="s">
        <v>40</v>
      </c>
      <c r="L26" s="25" t="s">
        <v>39</v>
      </c>
      <c r="M26" s="26">
        <v>135</v>
      </c>
      <c r="N26" s="27" t="s">
        <v>30</v>
      </c>
      <c r="O26" s="27" t="s">
        <v>29</v>
      </c>
      <c r="P26" s="28">
        <v>120</v>
      </c>
      <c r="Q26" s="25" t="s">
        <v>18</v>
      </c>
      <c r="R26" s="25" t="s">
        <v>17</v>
      </c>
      <c r="S26" s="29">
        <v>160</v>
      </c>
      <c r="T26" s="6">
        <v>3</v>
      </c>
      <c r="U26" s="31" t="s">
        <v>136</v>
      </c>
      <c r="V26" s="30" t="s">
        <v>137</v>
      </c>
    </row>
    <row r="27" spans="1:22" ht="24.75" customHeight="1" x14ac:dyDescent="0.25">
      <c r="A27" s="10" t="s">
        <v>177</v>
      </c>
      <c r="B27" s="11" t="s">
        <v>178</v>
      </c>
      <c r="C27" s="10" t="s">
        <v>130</v>
      </c>
      <c r="D27" s="12">
        <v>60.3</v>
      </c>
      <c r="E27" s="12"/>
      <c r="F27" s="12">
        <v>5</v>
      </c>
      <c r="G27" s="12">
        <v>59</v>
      </c>
      <c r="H27" s="12">
        <v>933.45</v>
      </c>
      <c r="I27" s="12">
        <v>194.46875</v>
      </c>
      <c r="J27" s="10" t="s">
        <v>131</v>
      </c>
      <c r="K27" s="34" t="s">
        <v>40</v>
      </c>
      <c r="L27" s="35" t="s">
        <v>39</v>
      </c>
      <c r="M27" s="36">
        <v>135</v>
      </c>
      <c r="N27" s="27" t="s">
        <v>18</v>
      </c>
      <c r="O27" s="27" t="s">
        <v>17</v>
      </c>
      <c r="P27" s="28">
        <v>175</v>
      </c>
      <c r="Q27" s="25" t="s">
        <v>30</v>
      </c>
      <c r="R27" s="25" t="s">
        <v>29</v>
      </c>
      <c r="S27" s="29">
        <v>140</v>
      </c>
      <c r="T27" s="13">
        <v>3</v>
      </c>
      <c r="U27" s="3" t="s">
        <v>132</v>
      </c>
      <c r="V27" s="32" t="s">
        <v>133</v>
      </c>
    </row>
    <row r="28" spans="1:22" ht="24.75" customHeight="1" x14ac:dyDescent="0.25">
      <c r="A28" s="2" t="s">
        <v>71</v>
      </c>
      <c r="B28" s="4" t="s">
        <v>72</v>
      </c>
      <c r="C28" s="2" t="s">
        <v>130</v>
      </c>
      <c r="D28" s="5">
        <v>60.3</v>
      </c>
      <c r="E28" s="5"/>
      <c r="F28" s="5">
        <v>6</v>
      </c>
      <c r="G28" s="5">
        <v>110</v>
      </c>
      <c r="H28" s="5">
        <v>1061</v>
      </c>
      <c r="I28" s="5">
        <v>265.25</v>
      </c>
      <c r="J28" s="2" t="s">
        <v>131</v>
      </c>
      <c r="K28" s="24" t="s">
        <v>18</v>
      </c>
      <c r="L28" s="25" t="s">
        <v>17</v>
      </c>
      <c r="M28" s="26">
        <v>175</v>
      </c>
      <c r="N28" s="27" t="s">
        <v>40</v>
      </c>
      <c r="O28" s="27" t="s">
        <v>39</v>
      </c>
      <c r="P28" s="28">
        <v>135</v>
      </c>
      <c r="Q28" s="25" t="s">
        <v>30</v>
      </c>
      <c r="R28" s="25" t="s">
        <v>29</v>
      </c>
      <c r="S28" s="29">
        <v>140</v>
      </c>
      <c r="T28" s="6">
        <v>3</v>
      </c>
      <c r="U28" s="3" t="s">
        <v>132</v>
      </c>
      <c r="V28" s="30" t="s">
        <v>133</v>
      </c>
    </row>
    <row r="29" spans="1:22" ht="24.75" customHeight="1" x14ac:dyDescent="0.25">
      <c r="A29" s="10" t="s">
        <v>179</v>
      </c>
      <c r="B29" s="11" t="s">
        <v>180</v>
      </c>
      <c r="C29" s="10" t="s">
        <v>130</v>
      </c>
      <c r="D29" s="12">
        <v>60.3</v>
      </c>
      <c r="E29" s="12"/>
      <c r="F29" s="12">
        <v>8</v>
      </c>
      <c r="G29" s="12">
        <v>5</v>
      </c>
      <c r="H29" s="12">
        <v>302</v>
      </c>
      <c r="I29" s="12">
        <v>100.666666666667</v>
      </c>
      <c r="J29" s="10" t="s">
        <v>131</v>
      </c>
      <c r="K29" s="24" t="s">
        <v>18</v>
      </c>
      <c r="L29" s="25" t="s">
        <v>17</v>
      </c>
      <c r="M29" s="26">
        <v>135</v>
      </c>
      <c r="N29" s="27" t="s">
        <v>40</v>
      </c>
      <c r="O29" s="27" t="s">
        <v>39</v>
      </c>
      <c r="P29" s="28">
        <v>135</v>
      </c>
      <c r="Q29" s="25" t="s">
        <v>30</v>
      </c>
      <c r="R29" s="25" t="s">
        <v>29</v>
      </c>
      <c r="S29" s="29">
        <v>115</v>
      </c>
      <c r="T29" s="13">
        <v>3</v>
      </c>
      <c r="U29" s="33" t="s">
        <v>140</v>
      </c>
      <c r="V29" s="32" t="s">
        <v>133</v>
      </c>
    </row>
    <row r="30" spans="1:22" ht="24.75" customHeight="1" x14ac:dyDescent="0.25">
      <c r="A30" s="2" t="s">
        <v>78</v>
      </c>
      <c r="B30" s="4" t="s">
        <v>79</v>
      </c>
      <c r="C30" s="2" t="s">
        <v>130</v>
      </c>
      <c r="D30" s="5">
        <v>60.3</v>
      </c>
      <c r="E30" s="5"/>
      <c r="F30" s="5">
        <v>9</v>
      </c>
      <c r="G30" s="5">
        <v>10</v>
      </c>
      <c r="H30" s="5">
        <v>274.89999999999998</v>
      </c>
      <c r="I30" s="5">
        <v>103.08750000000001</v>
      </c>
      <c r="J30" s="2" t="s">
        <v>131</v>
      </c>
      <c r="K30" s="24" t="s">
        <v>18</v>
      </c>
      <c r="L30" s="25" t="s">
        <v>17</v>
      </c>
      <c r="M30" s="26">
        <v>135</v>
      </c>
      <c r="N30" s="27" t="s">
        <v>40</v>
      </c>
      <c r="O30" s="27" t="s">
        <v>39</v>
      </c>
      <c r="P30" s="28">
        <v>135</v>
      </c>
      <c r="Q30" s="25" t="s">
        <v>30</v>
      </c>
      <c r="R30" s="25" t="s">
        <v>29</v>
      </c>
      <c r="S30" s="29">
        <v>115</v>
      </c>
      <c r="T30" s="6">
        <v>3</v>
      </c>
      <c r="U30" s="3" t="s">
        <v>132</v>
      </c>
      <c r="V30" s="30" t="s">
        <v>133</v>
      </c>
    </row>
    <row r="31" spans="1:22" ht="24.75" customHeight="1" x14ac:dyDescent="0.25">
      <c r="A31" s="10" t="s">
        <v>181</v>
      </c>
      <c r="B31" s="11" t="s">
        <v>182</v>
      </c>
      <c r="C31" s="10" t="s">
        <v>130</v>
      </c>
      <c r="D31" s="12">
        <v>60.3</v>
      </c>
      <c r="E31" s="12"/>
      <c r="F31" s="12"/>
      <c r="G31" s="12">
        <v>8</v>
      </c>
      <c r="H31" s="12">
        <v>608.375</v>
      </c>
      <c r="I31" s="12"/>
      <c r="J31" s="10" t="s">
        <v>131</v>
      </c>
      <c r="K31" s="24" t="s">
        <v>18</v>
      </c>
      <c r="L31" s="25" t="s">
        <v>17</v>
      </c>
      <c r="M31" s="26">
        <v>160</v>
      </c>
      <c r="N31" s="27" t="s">
        <v>40</v>
      </c>
      <c r="O31" s="27" t="s">
        <v>39</v>
      </c>
      <c r="P31" s="28">
        <v>135</v>
      </c>
      <c r="Q31" s="25" t="s">
        <v>30</v>
      </c>
      <c r="R31" s="25" t="s">
        <v>29</v>
      </c>
      <c r="S31" s="29">
        <v>120</v>
      </c>
      <c r="T31" s="13">
        <v>3</v>
      </c>
      <c r="U31" s="31" t="s">
        <v>136</v>
      </c>
      <c r="V31" s="32" t="s">
        <v>137</v>
      </c>
    </row>
    <row r="32" spans="1:22" ht="24.75" customHeight="1" x14ac:dyDescent="0.25">
      <c r="A32" s="2" t="s">
        <v>66</v>
      </c>
      <c r="B32" s="4" t="s">
        <v>67</v>
      </c>
      <c r="C32" s="2" t="s">
        <v>130</v>
      </c>
      <c r="D32" s="5">
        <v>63</v>
      </c>
      <c r="E32" s="5">
        <v>2</v>
      </c>
      <c r="F32" s="5">
        <v>3</v>
      </c>
      <c r="G32" s="5">
        <v>38</v>
      </c>
      <c r="H32" s="5">
        <v>856.7</v>
      </c>
      <c r="I32" s="5">
        <v>107.08750000000001</v>
      </c>
      <c r="J32" s="2" t="s">
        <v>131</v>
      </c>
      <c r="K32" s="24" t="s">
        <v>18</v>
      </c>
      <c r="L32" s="25" t="s">
        <v>17</v>
      </c>
      <c r="M32" s="26">
        <v>140</v>
      </c>
      <c r="N32" s="27" t="s">
        <v>40</v>
      </c>
      <c r="O32" s="27" t="s">
        <v>39</v>
      </c>
      <c r="P32" s="28">
        <v>135</v>
      </c>
      <c r="Q32" s="25" t="s">
        <v>30</v>
      </c>
      <c r="R32" s="25" t="s">
        <v>29</v>
      </c>
      <c r="S32" s="29">
        <v>120</v>
      </c>
      <c r="T32" s="6">
        <v>3</v>
      </c>
      <c r="U32" s="3" t="s">
        <v>132</v>
      </c>
      <c r="V32" s="30" t="s">
        <v>133</v>
      </c>
    </row>
    <row r="33" spans="1:22" ht="24.75" customHeight="1" x14ac:dyDescent="0.25">
      <c r="A33" s="10" t="s">
        <v>20</v>
      </c>
      <c r="B33" s="11" t="s">
        <v>21</v>
      </c>
      <c r="C33" s="10" t="s">
        <v>130</v>
      </c>
      <c r="D33" s="12">
        <v>63</v>
      </c>
      <c r="E33" s="12">
        <v>3</v>
      </c>
      <c r="F33" s="12">
        <v>5.7</v>
      </c>
      <c r="G33" s="12">
        <v>31</v>
      </c>
      <c r="H33" s="12">
        <v>563.04999999999995</v>
      </c>
      <c r="I33" s="12">
        <v>133.72437500000001</v>
      </c>
      <c r="J33" s="10" t="s">
        <v>131</v>
      </c>
      <c r="K33" s="37" t="s">
        <v>18</v>
      </c>
      <c r="L33" s="38" t="s">
        <v>17</v>
      </c>
      <c r="M33" s="39">
        <v>150</v>
      </c>
      <c r="N33" s="27" t="s">
        <v>40</v>
      </c>
      <c r="O33" s="27" t="s">
        <v>39</v>
      </c>
      <c r="P33" s="28">
        <v>135</v>
      </c>
      <c r="Q33" s="25" t="s">
        <v>30</v>
      </c>
      <c r="R33" s="25" t="s">
        <v>29</v>
      </c>
      <c r="S33" s="29">
        <v>125</v>
      </c>
      <c r="T33" s="13">
        <v>3</v>
      </c>
      <c r="U33" s="3" t="s">
        <v>132</v>
      </c>
      <c r="V33" s="32" t="s">
        <v>133</v>
      </c>
    </row>
    <row r="34" spans="1:22" ht="24.75" customHeight="1" x14ac:dyDescent="0.25">
      <c r="A34" s="2" t="s">
        <v>183</v>
      </c>
      <c r="B34" s="4" t="s">
        <v>184</v>
      </c>
      <c r="C34" s="2" t="s">
        <v>130</v>
      </c>
      <c r="D34" s="5">
        <v>63</v>
      </c>
      <c r="E34" s="5">
        <v>4.7</v>
      </c>
      <c r="F34" s="5">
        <v>7.8</v>
      </c>
      <c r="G34" s="5">
        <v>3</v>
      </c>
      <c r="H34" s="5">
        <v>184</v>
      </c>
      <c r="I34" s="5">
        <v>59.8</v>
      </c>
      <c r="J34" s="2" t="s">
        <v>131</v>
      </c>
      <c r="K34" s="24" t="s">
        <v>18</v>
      </c>
      <c r="L34" s="25" t="s">
        <v>17</v>
      </c>
      <c r="M34" s="26">
        <v>120</v>
      </c>
      <c r="N34" s="27" t="s">
        <v>40</v>
      </c>
      <c r="O34" s="27" t="s">
        <v>39</v>
      </c>
      <c r="P34" s="28">
        <v>120</v>
      </c>
      <c r="Q34" s="25" t="s">
        <v>30</v>
      </c>
      <c r="R34" s="25" t="s">
        <v>29</v>
      </c>
      <c r="S34" s="29">
        <v>105</v>
      </c>
      <c r="T34" s="6">
        <v>3</v>
      </c>
      <c r="U34" s="33" t="s">
        <v>140</v>
      </c>
      <c r="V34" s="30" t="s">
        <v>133</v>
      </c>
    </row>
    <row r="35" spans="1:22" ht="24.75" customHeight="1" x14ac:dyDescent="0.25">
      <c r="A35" s="10" t="s">
        <v>185</v>
      </c>
      <c r="B35" s="11" t="s">
        <v>186</v>
      </c>
      <c r="C35" s="10" t="s">
        <v>130</v>
      </c>
      <c r="D35" s="12">
        <v>75</v>
      </c>
      <c r="E35" s="12">
        <v>2.2000000000000002</v>
      </c>
      <c r="F35" s="12">
        <v>4</v>
      </c>
      <c r="G35" s="12">
        <v>77</v>
      </c>
      <c r="H35" s="12">
        <v>1447.5</v>
      </c>
      <c r="I35" s="12">
        <v>241.25</v>
      </c>
      <c r="J35" s="10" t="s">
        <v>140</v>
      </c>
      <c r="K35" s="34" t="s">
        <v>42</v>
      </c>
      <c r="L35" s="35" t="s">
        <v>41</v>
      </c>
      <c r="M35" s="36">
        <v>164</v>
      </c>
      <c r="N35" s="27" t="s">
        <v>34</v>
      </c>
      <c r="O35" s="27" t="s">
        <v>33</v>
      </c>
      <c r="P35" s="28">
        <v>255</v>
      </c>
      <c r="Q35" s="25" t="s">
        <v>30</v>
      </c>
      <c r="R35" s="25" t="s">
        <v>29</v>
      </c>
      <c r="S35" s="29">
        <v>140</v>
      </c>
      <c r="T35" s="13">
        <v>3</v>
      </c>
      <c r="U35" s="3" t="s">
        <v>132</v>
      </c>
      <c r="V35" s="32" t="s">
        <v>133</v>
      </c>
    </row>
    <row r="36" spans="1:22" ht="24.75" customHeight="1" x14ac:dyDescent="0.25">
      <c r="A36" s="2" t="s">
        <v>75</v>
      </c>
      <c r="B36" s="4" t="s">
        <v>76</v>
      </c>
      <c r="C36" s="2" t="s">
        <v>130</v>
      </c>
      <c r="D36" s="5">
        <v>75</v>
      </c>
      <c r="E36" s="5">
        <v>3.6</v>
      </c>
      <c r="F36" s="5">
        <v>8.1999999999999993</v>
      </c>
      <c r="G36" s="5">
        <v>221</v>
      </c>
      <c r="H36" s="5">
        <v>1430.15</v>
      </c>
      <c r="I36" s="5">
        <v>488.63458333333301</v>
      </c>
      <c r="J36" s="2" t="s">
        <v>140</v>
      </c>
      <c r="K36" s="34" t="s">
        <v>42</v>
      </c>
      <c r="L36" s="35" t="s">
        <v>41</v>
      </c>
      <c r="M36" s="36">
        <v>234</v>
      </c>
      <c r="N36" s="27" t="s">
        <v>34</v>
      </c>
      <c r="O36" s="27" t="s">
        <v>33</v>
      </c>
      <c r="P36" s="28">
        <v>270</v>
      </c>
      <c r="Q36" s="25" t="s">
        <v>30</v>
      </c>
      <c r="R36" s="25" t="s">
        <v>29</v>
      </c>
      <c r="S36" s="29">
        <v>140</v>
      </c>
      <c r="T36" s="6">
        <v>3</v>
      </c>
      <c r="U36" s="3" t="s">
        <v>132</v>
      </c>
      <c r="V36" s="30" t="s">
        <v>133</v>
      </c>
    </row>
    <row r="37" spans="1:22" ht="24.75" customHeight="1" x14ac:dyDescent="0.25">
      <c r="A37" s="10" t="s">
        <v>80</v>
      </c>
      <c r="B37" s="11" t="s">
        <v>81</v>
      </c>
      <c r="C37" s="10" t="s">
        <v>130</v>
      </c>
      <c r="D37" s="12">
        <v>75</v>
      </c>
      <c r="E37" s="12">
        <v>5.6</v>
      </c>
      <c r="F37" s="12">
        <v>10</v>
      </c>
      <c r="G37" s="12">
        <v>8</v>
      </c>
      <c r="H37" s="12">
        <v>328.125</v>
      </c>
      <c r="I37" s="12">
        <v>136.71875</v>
      </c>
      <c r="J37" s="10" t="s">
        <v>140</v>
      </c>
      <c r="K37" s="24" t="s">
        <v>42</v>
      </c>
      <c r="L37" s="25" t="s">
        <v>41</v>
      </c>
      <c r="M37" s="26">
        <v>190</v>
      </c>
      <c r="N37" s="27" t="s">
        <v>34</v>
      </c>
      <c r="O37" s="27" t="s">
        <v>33</v>
      </c>
      <c r="P37" s="28">
        <v>225</v>
      </c>
      <c r="Q37" s="25" t="s">
        <v>30</v>
      </c>
      <c r="R37" s="25" t="s">
        <v>29</v>
      </c>
      <c r="S37" s="29">
        <v>125</v>
      </c>
      <c r="T37" s="13">
        <v>3</v>
      </c>
      <c r="U37" s="3" t="s">
        <v>132</v>
      </c>
      <c r="V37" s="32" t="s">
        <v>133</v>
      </c>
    </row>
    <row r="38" spans="1:22" ht="24.75" customHeight="1" x14ac:dyDescent="0.25">
      <c r="A38" s="2" t="s">
        <v>82</v>
      </c>
      <c r="B38" s="4" t="s">
        <v>83</v>
      </c>
      <c r="C38" s="2" t="s">
        <v>130</v>
      </c>
      <c r="D38" s="5">
        <v>88.9</v>
      </c>
      <c r="E38" s="5"/>
      <c r="F38" s="5">
        <v>10.5</v>
      </c>
      <c r="G38" s="5">
        <v>97</v>
      </c>
      <c r="H38" s="5">
        <v>639.85</v>
      </c>
      <c r="I38" s="5">
        <v>279.93437499999999</v>
      </c>
      <c r="J38" s="2" t="s">
        <v>140</v>
      </c>
      <c r="K38" s="24" t="s">
        <v>42</v>
      </c>
      <c r="L38" s="25" t="s">
        <v>41</v>
      </c>
      <c r="M38" s="26">
        <v>230</v>
      </c>
      <c r="N38" s="27" t="s">
        <v>34</v>
      </c>
      <c r="O38" s="27" t="s">
        <v>33</v>
      </c>
      <c r="P38" s="28">
        <v>265</v>
      </c>
      <c r="Q38" s="25" t="s">
        <v>30</v>
      </c>
      <c r="R38" s="25" t="s">
        <v>29</v>
      </c>
      <c r="S38" s="29">
        <v>140</v>
      </c>
      <c r="T38" s="6">
        <v>3</v>
      </c>
      <c r="U38" s="3" t="s">
        <v>132</v>
      </c>
      <c r="V38" s="30" t="s">
        <v>133</v>
      </c>
    </row>
    <row r="39" spans="1:22" ht="24.75" customHeight="1" x14ac:dyDescent="0.25">
      <c r="A39" s="10" t="s">
        <v>35</v>
      </c>
      <c r="B39" s="11" t="s">
        <v>36</v>
      </c>
      <c r="C39" s="10" t="s">
        <v>130</v>
      </c>
      <c r="D39" s="12">
        <v>88.9</v>
      </c>
      <c r="E39" s="12"/>
      <c r="F39" s="12">
        <v>15</v>
      </c>
      <c r="G39" s="12">
        <v>43</v>
      </c>
      <c r="H39" s="12">
        <v>512.35</v>
      </c>
      <c r="I39" s="12">
        <v>320.21875</v>
      </c>
      <c r="J39" s="10" t="s">
        <v>140</v>
      </c>
      <c r="K39" s="34" t="s">
        <v>34</v>
      </c>
      <c r="L39" s="35" t="s">
        <v>33</v>
      </c>
      <c r="M39" s="36">
        <v>248</v>
      </c>
      <c r="N39" s="27" t="s">
        <v>42</v>
      </c>
      <c r="O39" s="27" t="s">
        <v>41</v>
      </c>
      <c r="P39" s="28">
        <v>235</v>
      </c>
      <c r="Q39" s="25" t="s">
        <v>30</v>
      </c>
      <c r="R39" s="25" t="s">
        <v>29</v>
      </c>
      <c r="S39" s="29">
        <v>140</v>
      </c>
      <c r="T39" s="13">
        <v>3</v>
      </c>
      <c r="U39" s="3" t="s">
        <v>132</v>
      </c>
      <c r="V39" s="32" t="s">
        <v>133</v>
      </c>
    </row>
    <row r="40" spans="1:22" ht="24.75" customHeight="1" x14ac:dyDescent="0.25">
      <c r="A40" s="2" t="s">
        <v>187</v>
      </c>
      <c r="B40" s="4" t="s">
        <v>188</v>
      </c>
      <c r="C40" s="2" t="s">
        <v>143</v>
      </c>
      <c r="D40" s="5">
        <v>88.9</v>
      </c>
      <c r="E40" s="5"/>
      <c r="F40" s="5">
        <v>17</v>
      </c>
      <c r="G40" s="5">
        <v>8</v>
      </c>
      <c r="H40" s="5">
        <v>211</v>
      </c>
      <c r="I40" s="5">
        <v>149.458333333333</v>
      </c>
      <c r="J40" s="2" t="s">
        <v>140</v>
      </c>
      <c r="K40" s="24" t="s">
        <v>34</v>
      </c>
      <c r="L40" s="25" t="s">
        <v>33</v>
      </c>
      <c r="M40" s="26">
        <v>230</v>
      </c>
      <c r="N40" s="27" t="s">
        <v>42</v>
      </c>
      <c r="O40" s="27" t="s">
        <v>41</v>
      </c>
      <c r="P40" s="28">
        <v>190</v>
      </c>
      <c r="Q40" s="25" t="s">
        <v>30</v>
      </c>
      <c r="R40" s="25" t="s">
        <v>29</v>
      </c>
      <c r="S40" s="29">
        <v>130</v>
      </c>
      <c r="T40" s="6">
        <v>3</v>
      </c>
      <c r="U40" s="31" t="s">
        <v>136</v>
      </c>
      <c r="V40" s="30" t="s">
        <v>144</v>
      </c>
    </row>
    <row r="41" spans="1:22" ht="24.75" customHeight="1" x14ac:dyDescent="0.25">
      <c r="A41" s="10" t="s">
        <v>189</v>
      </c>
      <c r="B41" s="11" t="s">
        <v>190</v>
      </c>
      <c r="C41" s="10" t="s">
        <v>130</v>
      </c>
      <c r="D41" s="12">
        <v>88.9</v>
      </c>
      <c r="E41" s="12"/>
      <c r="F41" s="12"/>
      <c r="G41" s="12">
        <v>2</v>
      </c>
      <c r="H41" s="12">
        <v>250.5</v>
      </c>
      <c r="I41" s="12"/>
      <c r="J41" s="10" t="s">
        <v>140</v>
      </c>
      <c r="K41" s="24" t="s">
        <v>42</v>
      </c>
      <c r="L41" s="25" t="s">
        <v>41</v>
      </c>
      <c r="M41" s="26">
        <v>200</v>
      </c>
      <c r="N41" s="27" t="s">
        <v>34</v>
      </c>
      <c r="O41" s="27" t="s">
        <v>33</v>
      </c>
      <c r="P41" s="28">
        <v>260</v>
      </c>
      <c r="Q41" s="25" t="s">
        <v>30</v>
      </c>
      <c r="R41" s="25" t="s">
        <v>29</v>
      </c>
      <c r="S41" s="29">
        <v>120</v>
      </c>
      <c r="T41" s="13">
        <v>3</v>
      </c>
      <c r="U41" s="31" t="s">
        <v>136</v>
      </c>
      <c r="V41" s="32" t="s">
        <v>137</v>
      </c>
    </row>
    <row r="42" spans="1:22" ht="24.75" customHeight="1" x14ac:dyDescent="0.25">
      <c r="A42" s="2" t="s">
        <v>191</v>
      </c>
      <c r="B42" s="4" t="s">
        <v>192</v>
      </c>
      <c r="C42" s="2" t="s">
        <v>130</v>
      </c>
      <c r="D42" s="5">
        <v>90</v>
      </c>
      <c r="E42" s="5">
        <v>2.7</v>
      </c>
      <c r="F42" s="5">
        <v>5</v>
      </c>
      <c r="G42" s="5">
        <v>30</v>
      </c>
      <c r="H42" s="5">
        <v>854.35</v>
      </c>
      <c r="I42" s="5">
        <v>177.989583333333</v>
      </c>
      <c r="J42" s="2" t="s">
        <v>140</v>
      </c>
      <c r="K42" s="24" t="s">
        <v>42</v>
      </c>
      <c r="L42" s="25" t="s">
        <v>41</v>
      </c>
      <c r="M42" s="26">
        <v>190</v>
      </c>
      <c r="N42" s="27" t="s">
        <v>34</v>
      </c>
      <c r="O42" s="27" t="s">
        <v>33</v>
      </c>
      <c r="P42" s="28">
        <v>235</v>
      </c>
      <c r="Q42" s="25" t="s">
        <v>30</v>
      </c>
      <c r="R42" s="25" t="s">
        <v>29</v>
      </c>
      <c r="S42" s="29">
        <v>140</v>
      </c>
      <c r="T42" s="6">
        <v>3</v>
      </c>
      <c r="U42" s="3" t="s">
        <v>132</v>
      </c>
      <c r="V42" s="30" t="s">
        <v>133</v>
      </c>
    </row>
    <row r="43" spans="1:22" ht="24.75" customHeight="1" x14ac:dyDescent="0.25">
      <c r="A43" s="10" t="s">
        <v>193</v>
      </c>
      <c r="B43" s="11" t="s">
        <v>194</v>
      </c>
      <c r="C43" s="10" t="s">
        <v>130</v>
      </c>
      <c r="D43" s="12">
        <v>90</v>
      </c>
      <c r="E43" s="12">
        <v>6.7</v>
      </c>
      <c r="F43" s="12">
        <v>17.899999999999999</v>
      </c>
      <c r="G43" s="12">
        <v>3</v>
      </c>
      <c r="H43" s="12">
        <v>178</v>
      </c>
      <c r="I43" s="12">
        <v>132.75833333333301</v>
      </c>
      <c r="J43" s="10" t="s">
        <v>140</v>
      </c>
      <c r="K43" s="24" t="s">
        <v>34</v>
      </c>
      <c r="L43" s="25" t="s">
        <v>33</v>
      </c>
      <c r="M43" s="26">
        <v>220</v>
      </c>
      <c r="N43" s="27" t="s">
        <v>42</v>
      </c>
      <c r="O43" s="27" t="s">
        <v>41</v>
      </c>
      <c r="P43" s="28">
        <v>185</v>
      </c>
      <c r="Q43" s="25" t="s">
        <v>30</v>
      </c>
      <c r="R43" s="25" t="s">
        <v>29</v>
      </c>
      <c r="S43" s="29">
        <v>125</v>
      </c>
      <c r="T43" s="13">
        <v>3</v>
      </c>
      <c r="U43" s="33" t="s">
        <v>140</v>
      </c>
      <c r="V43" s="32" t="s">
        <v>133</v>
      </c>
    </row>
    <row r="44" spans="1:22" ht="24.75" customHeight="1" x14ac:dyDescent="0.25">
      <c r="A44" s="2" t="s">
        <v>84</v>
      </c>
      <c r="B44" s="4" t="s">
        <v>85</v>
      </c>
      <c r="C44" s="2" t="s">
        <v>130</v>
      </c>
      <c r="D44" s="5">
        <v>110</v>
      </c>
      <c r="E44" s="5">
        <v>3.2</v>
      </c>
      <c r="F44" s="5">
        <v>10.8</v>
      </c>
      <c r="G44" s="5">
        <v>40</v>
      </c>
      <c r="H44" s="5">
        <v>551.65</v>
      </c>
      <c r="I44" s="5">
        <v>248.24250000000001</v>
      </c>
      <c r="J44" s="2" t="s">
        <v>140</v>
      </c>
      <c r="K44" s="24" t="s">
        <v>34</v>
      </c>
      <c r="L44" s="25" t="s">
        <v>33</v>
      </c>
      <c r="M44" s="26">
        <v>265</v>
      </c>
      <c r="N44" s="27" t="s">
        <v>42</v>
      </c>
      <c r="O44" s="27" t="s">
        <v>41</v>
      </c>
      <c r="P44" s="28">
        <v>215</v>
      </c>
      <c r="Q44" s="25" t="s">
        <v>38</v>
      </c>
      <c r="R44" s="25" t="s">
        <v>37</v>
      </c>
      <c r="S44" s="29">
        <v>260</v>
      </c>
      <c r="T44" s="6">
        <v>3</v>
      </c>
      <c r="U44" s="3" t="s">
        <v>132</v>
      </c>
      <c r="V44" s="30" t="s">
        <v>133</v>
      </c>
    </row>
    <row r="45" spans="1:22" ht="24.75" customHeight="1" x14ac:dyDescent="0.25">
      <c r="A45" s="10" t="s">
        <v>195</v>
      </c>
      <c r="B45" s="11" t="s">
        <v>196</v>
      </c>
      <c r="C45" s="10" t="s">
        <v>130</v>
      </c>
      <c r="D45" s="12">
        <v>110</v>
      </c>
      <c r="E45" s="12"/>
      <c r="F45" s="12">
        <v>13.2</v>
      </c>
      <c r="G45" s="12">
        <v>2</v>
      </c>
      <c r="H45" s="12">
        <v>253</v>
      </c>
      <c r="I45" s="12">
        <v>139.15</v>
      </c>
      <c r="J45" s="10" t="s">
        <v>140</v>
      </c>
      <c r="K45" s="24" t="s">
        <v>34</v>
      </c>
      <c r="L45" s="25" t="s">
        <v>33</v>
      </c>
      <c r="M45" s="26">
        <v>230</v>
      </c>
      <c r="N45" s="27" t="s">
        <v>42</v>
      </c>
      <c r="O45" s="27" t="s">
        <v>41</v>
      </c>
      <c r="P45" s="28">
        <v>185</v>
      </c>
      <c r="Q45" s="25" t="s">
        <v>38</v>
      </c>
      <c r="R45" s="25" t="s">
        <v>37</v>
      </c>
      <c r="S45" s="29">
        <v>225</v>
      </c>
      <c r="T45" s="13">
        <v>3</v>
      </c>
      <c r="U45" s="33" t="s">
        <v>140</v>
      </c>
      <c r="V45" s="32" t="s">
        <v>133</v>
      </c>
    </row>
    <row r="46" spans="1:22" ht="24.75" customHeight="1" x14ac:dyDescent="0.25">
      <c r="A46" s="2" t="s">
        <v>43</v>
      </c>
      <c r="B46" s="4" t="s">
        <v>44</v>
      </c>
      <c r="C46" s="2" t="s">
        <v>130</v>
      </c>
      <c r="D46" s="5">
        <v>110</v>
      </c>
      <c r="E46" s="5">
        <v>4.2</v>
      </c>
      <c r="F46" s="5">
        <v>14.3</v>
      </c>
      <c r="G46" s="5">
        <v>43</v>
      </c>
      <c r="H46" s="5">
        <v>504</v>
      </c>
      <c r="I46" s="5">
        <v>300.3</v>
      </c>
      <c r="J46" s="2" t="s">
        <v>140</v>
      </c>
      <c r="K46" s="37" t="s">
        <v>42</v>
      </c>
      <c r="L46" s="38" t="s">
        <v>41</v>
      </c>
      <c r="M46" s="39">
        <v>230</v>
      </c>
      <c r="N46" s="27" t="s">
        <v>34</v>
      </c>
      <c r="O46" s="27" t="s">
        <v>33</v>
      </c>
      <c r="P46" s="28">
        <v>275</v>
      </c>
      <c r="Q46" s="25" t="s">
        <v>38</v>
      </c>
      <c r="R46" s="25" t="s">
        <v>37</v>
      </c>
      <c r="S46" s="29">
        <v>275</v>
      </c>
      <c r="T46" s="6">
        <v>3</v>
      </c>
      <c r="U46" s="3" t="s">
        <v>132</v>
      </c>
      <c r="V46" s="30" t="s">
        <v>133</v>
      </c>
    </row>
    <row r="47" spans="1:22" ht="24.75" customHeight="1" x14ac:dyDescent="0.25">
      <c r="A47" s="10" t="s">
        <v>90</v>
      </c>
      <c r="B47" s="11" t="s">
        <v>91</v>
      </c>
      <c r="C47" s="10" t="s">
        <v>130</v>
      </c>
      <c r="D47" s="12">
        <v>110</v>
      </c>
      <c r="E47" s="12">
        <v>5.3</v>
      </c>
      <c r="F47" s="12">
        <v>17.5</v>
      </c>
      <c r="G47" s="12">
        <v>340</v>
      </c>
      <c r="H47" s="12">
        <v>1013.4</v>
      </c>
      <c r="I47" s="12">
        <v>738.9375</v>
      </c>
      <c r="J47" s="10" t="s">
        <v>140</v>
      </c>
      <c r="K47" s="34" t="s">
        <v>34</v>
      </c>
      <c r="L47" s="35" t="s">
        <v>33</v>
      </c>
      <c r="M47" s="36">
        <v>271</v>
      </c>
      <c r="N47" s="35" t="s">
        <v>38</v>
      </c>
      <c r="O47" s="35" t="s">
        <v>37</v>
      </c>
      <c r="P47" s="40">
        <v>260</v>
      </c>
      <c r="Q47" s="25" t="s">
        <v>42</v>
      </c>
      <c r="R47" s="25" t="s">
        <v>41</v>
      </c>
      <c r="S47" s="29">
        <v>230</v>
      </c>
      <c r="T47" s="13">
        <v>3</v>
      </c>
      <c r="U47" s="3" t="s">
        <v>132</v>
      </c>
      <c r="V47" s="32" t="s">
        <v>133</v>
      </c>
    </row>
    <row r="48" spans="1:22" ht="24.75" customHeight="1" x14ac:dyDescent="0.25">
      <c r="A48" s="2" t="s">
        <v>96</v>
      </c>
      <c r="B48" s="4" t="s">
        <v>97</v>
      </c>
      <c r="C48" s="2" t="s">
        <v>130</v>
      </c>
      <c r="D48" s="5">
        <v>110</v>
      </c>
      <c r="E48" s="5">
        <v>5.3</v>
      </c>
      <c r="F48" s="5">
        <v>18.3</v>
      </c>
      <c r="G48" s="5">
        <v>6</v>
      </c>
      <c r="H48" s="5">
        <v>236.166666666667</v>
      </c>
      <c r="I48" s="5">
        <v>180.07708333333301</v>
      </c>
      <c r="J48" s="2" t="s">
        <v>140</v>
      </c>
      <c r="K48" s="24" t="s">
        <v>34</v>
      </c>
      <c r="L48" s="25" t="s">
        <v>33</v>
      </c>
      <c r="M48" s="26">
        <v>245</v>
      </c>
      <c r="N48" s="27" t="s">
        <v>42</v>
      </c>
      <c r="O48" s="27" t="s">
        <v>41</v>
      </c>
      <c r="P48" s="28">
        <v>195</v>
      </c>
      <c r="Q48" s="25" t="s">
        <v>38</v>
      </c>
      <c r="R48" s="25" t="s">
        <v>37</v>
      </c>
      <c r="S48" s="29">
        <v>240</v>
      </c>
      <c r="T48" s="6">
        <v>3</v>
      </c>
      <c r="U48" s="3" t="s">
        <v>132</v>
      </c>
      <c r="V48" s="30" t="s">
        <v>133</v>
      </c>
    </row>
    <row r="49" spans="1:22" ht="24.75" customHeight="1" x14ac:dyDescent="0.25">
      <c r="A49" s="10" t="s">
        <v>197</v>
      </c>
      <c r="B49" s="11" t="s">
        <v>198</v>
      </c>
      <c r="C49" s="10" t="s">
        <v>130</v>
      </c>
      <c r="D49" s="12">
        <v>110</v>
      </c>
      <c r="E49" s="12">
        <v>8.1</v>
      </c>
      <c r="F49" s="12">
        <v>26</v>
      </c>
      <c r="G49" s="12">
        <v>3</v>
      </c>
      <c r="H49" s="12">
        <v>168</v>
      </c>
      <c r="I49" s="12">
        <v>182</v>
      </c>
      <c r="J49" s="10" t="s">
        <v>140</v>
      </c>
      <c r="K49" s="24" t="s">
        <v>34</v>
      </c>
      <c r="L49" s="25" t="s">
        <v>33</v>
      </c>
      <c r="M49" s="26">
        <v>245</v>
      </c>
      <c r="N49" s="27" t="s">
        <v>42</v>
      </c>
      <c r="O49" s="27" t="s">
        <v>41</v>
      </c>
      <c r="P49" s="28">
        <v>195</v>
      </c>
      <c r="Q49" s="25" t="s">
        <v>38</v>
      </c>
      <c r="R49" s="25" t="s">
        <v>37</v>
      </c>
      <c r="S49" s="29">
        <v>235</v>
      </c>
      <c r="T49" s="13">
        <v>3</v>
      </c>
      <c r="U49" s="33" t="s">
        <v>140</v>
      </c>
      <c r="V49" s="32" t="s">
        <v>133</v>
      </c>
    </row>
    <row r="50" spans="1:22" ht="24.75" customHeight="1" x14ac:dyDescent="0.25">
      <c r="A50" s="2" t="s">
        <v>199</v>
      </c>
      <c r="B50" s="4" t="s">
        <v>200</v>
      </c>
      <c r="C50" s="2" t="s">
        <v>130</v>
      </c>
      <c r="D50" s="5">
        <v>110</v>
      </c>
      <c r="E50" s="5">
        <v>8.1</v>
      </c>
      <c r="F50" s="5">
        <v>26</v>
      </c>
      <c r="G50" s="5">
        <v>23</v>
      </c>
      <c r="H50" s="5">
        <v>221.95</v>
      </c>
      <c r="I50" s="5">
        <v>240.44583333333301</v>
      </c>
      <c r="J50" s="2" t="s">
        <v>140</v>
      </c>
      <c r="K50" s="24" t="s">
        <v>34</v>
      </c>
      <c r="L50" s="25" t="s">
        <v>33</v>
      </c>
      <c r="M50" s="26">
        <v>260</v>
      </c>
      <c r="N50" s="27" t="s">
        <v>42</v>
      </c>
      <c r="O50" s="27" t="s">
        <v>41</v>
      </c>
      <c r="P50" s="28">
        <v>215</v>
      </c>
      <c r="Q50" s="25" t="s">
        <v>38</v>
      </c>
      <c r="R50" s="25" t="s">
        <v>37</v>
      </c>
      <c r="S50" s="29">
        <v>255</v>
      </c>
      <c r="T50" s="6">
        <v>3</v>
      </c>
      <c r="U50" s="3" t="s">
        <v>132</v>
      </c>
      <c r="V50" s="30" t="s">
        <v>133</v>
      </c>
    </row>
    <row r="51" spans="1:22" ht="24.75" customHeight="1" x14ac:dyDescent="0.25">
      <c r="A51" s="10" t="s">
        <v>86</v>
      </c>
      <c r="B51" s="11" t="s">
        <v>87</v>
      </c>
      <c r="C51" s="10" t="s">
        <v>130</v>
      </c>
      <c r="D51" s="12">
        <v>114.3</v>
      </c>
      <c r="E51" s="12"/>
      <c r="F51" s="12">
        <v>14.5</v>
      </c>
      <c r="G51" s="12">
        <v>41</v>
      </c>
      <c r="H51" s="12">
        <v>542.20000000000005</v>
      </c>
      <c r="I51" s="12">
        <v>327.57916666666699</v>
      </c>
      <c r="J51" s="10" t="s">
        <v>140</v>
      </c>
      <c r="K51" s="24" t="s">
        <v>34</v>
      </c>
      <c r="L51" s="25" t="s">
        <v>33</v>
      </c>
      <c r="M51" s="26">
        <v>280</v>
      </c>
      <c r="N51" s="27" t="s">
        <v>42</v>
      </c>
      <c r="O51" s="27" t="s">
        <v>41</v>
      </c>
      <c r="P51" s="28">
        <v>230</v>
      </c>
      <c r="Q51" s="25" t="s">
        <v>38</v>
      </c>
      <c r="R51" s="25" t="s">
        <v>37</v>
      </c>
      <c r="S51" s="29">
        <v>285</v>
      </c>
      <c r="T51" s="13">
        <v>3</v>
      </c>
      <c r="U51" s="3" t="s">
        <v>132</v>
      </c>
      <c r="V51" s="32" t="s">
        <v>133</v>
      </c>
    </row>
    <row r="52" spans="1:22" ht="24.75" customHeight="1" x14ac:dyDescent="0.25">
      <c r="A52" s="2" t="s">
        <v>88</v>
      </c>
      <c r="B52" s="4" t="s">
        <v>89</v>
      </c>
      <c r="C52" s="2" t="s">
        <v>130</v>
      </c>
      <c r="D52" s="5">
        <v>114.3</v>
      </c>
      <c r="E52" s="5"/>
      <c r="F52" s="5">
        <v>16</v>
      </c>
      <c r="G52" s="5">
        <v>141</v>
      </c>
      <c r="H52" s="5">
        <v>754.5</v>
      </c>
      <c r="I52" s="5">
        <v>503</v>
      </c>
      <c r="J52" s="2" t="s">
        <v>140</v>
      </c>
      <c r="K52" s="34" t="s">
        <v>38</v>
      </c>
      <c r="L52" s="35" t="s">
        <v>37</v>
      </c>
      <c r="M52" s="36">
        <v>276</v>
      </c>
      <c r="N52" s="35" t="s">
        <v>34</v>
      </c>
      <c r="O52" s="35" t="s">
        <v>33</v>
      </c>
      <c r="P52" s="40">
        <v>280</v>
      </c>
      <c r="Q52" s="25" t="s">
        <v>42</v>
      </c>
      <c r="R52" s="25" t="s">
        <v>41</v>
      </c>
      <c r="S52" s="29">
        <v>230</v>
      </c>
      <c r="T52" s="6">
        <v>3</v>
      </c>
      <c r="U52" s="3" t="s">
        <v>132</v>
      </c>
      <c r="V52" s="30" t="s">
        <v>133</v>
      </c>
    </row>
    <row r="53" spans="1:22" ht="24.75" customHeight="1" x14ac:dyDescent="0.25">
      <c r="A53" s="10" t="s">
        <v>98</v>
      </c>
      <c r="B53" s="11" t="s">
        <v>99</v>
      </c>
      <c r="C53" s="10" t="s">
        <v>130</v>
      </c>
      <c r="D53" s="12">
        <v>114.3</v>
      </c>
      <c r="E53" s="12"/>
      <c r="F53" s="12">
        <v>21.2</v>
      </c>
      <c r="G53" s="12">
        <v>88</v>
      </c>
      <c r="H53" s="12">
        <v>512.79999999999995</v>
      </c>
      <c r="I53" s="12">
        <v>452.97333333333302</v>
      </c>
      <c r="J53" s="10" t="s">
        <v>140</v>
      </c>
      <c r="K53" s="24" t="s">
        <v>34</v>
      </c>
      <c r="L53" s="25" t="s">
        <v>33</v>
      </c>
      <c r="M53" s="26">
        <v>275</v>
      </c>
      <c r="N53" s="27" t="s">
        <v>42</v>
      </c>
      <c r="O53" s="27" t="s">
        <v>41</v>
      </c>
      <c r="P53" s="28">
        <v>230</v>
      </c>
      <c r="Q53" s="25" t="s">
        <v>38</v>
      </c>
      <c r="R53" s="25" t="s">
        <v>37</v>
      </c>
      <c r="S53" s="29">
        <v>300</v>
      </c>
      <c r="T53" s="13">
        <v>3</v>
      </c>
      <c r="U53" s="3" t="s">
        <v>132</v>
      </c>
      <c r="V53" s="32" t="s">
        <v>133</v>
      </c>
    </row>
    <row r="54" spans="1:22" ht="24.75" customHeight="1" x14ac:dyDescent="0.25">
      <c r="A54" s="2" t="s">
        <v>201</v>
      </c>
      <c r="B54" s="4" t="s">
        <v>202</v>
      </c>
      <c r="C54" s="2" t="s">
        <v>143</v>
      </c>
      <c r="D54" s="5">
        <v>114.3</v>
      </c>
      <c r="E54" s="5"/>
      <c r="F54" s="5">
        <v>26</v>
      </c>
      <c r="G54" s="5">
        <v>2</v>
      </c>
      <c r="H54" s="5">
        <v>126</v>
      </c>
      <c r="I54" s="5">
        <v>136.5</v>
      </c>
      <c r="J54" s="2" t="s">
        <v>140</v>
      </c>
      <c r="K54" s="24" t="s">
        <v>34</v>
      </c>
      <c r="L54" s="25" t="s">
        <v>33</v>
      </c>
      <c r="M54" s="26">
        <v>230</v>
      </c>
      <c r="N54" s="27" t="s">
        <v>42</v>
      </c>
      <c r="O54" s="27" t="s">
        <v>41</v>
      </c>
      <c r="P54" s="28">
        <v>180</v>
      </c>
      <c r="Q54" s="25" t="s">
        <v>38</v>
      </c>
      <c r="R54" s="25" t="s">
        <v>37</v>
      </c>
      <c r="S54" s="29">
        <v>225</v>
      </c>
      <c r="T54" s="6">
        <v>3</v>
      </c>
      <c r="U54" s="31" t="s">
        <v>136</v>
      </c>
      <c r="V54" s="30" t="s">
        <v>144</v>
      </c>
    </row>
    <row r="55" spans="1:22" ht="24.75" customHeight="1" x14ac:dyDescent="0.25">
      <c r="A55" s="10" t="s">
        <v>203</v>
      </c>
      <c r="B55" s="11" t="s">
        <v>204</v>
      </c>
      <c r="C55" s="10" t="s">
        <v>130</v>
      </c>
      <c r="D55" s="12">
        <v>114.3</v>
      </c>
      <c r="E55" s="12"/>
      <c r="F55" s="12"/>
      <c r="G55" s="12">
        <v>4</v>
      </c>
      <c r="H55" s="12">
        <v>251</v>
      </c>
      <c r="I55" s="12"/>
      <c r="J55" s="10" t="s">
        <v>140</v>
      </c>
      <c r="K55" s="24" t="s">
        <v>34</v>
      </c>
      <c r="L55" s="25" t="s">
        <v>33</v>
      </c>
      <c r="M55" s="26">
        <v>270</v>
      </c>
      <c r="N55" s="27" t="s">
        <v>42</v>
      </c>
      <c r="O55" s="27" t="s">
        <v>41</v>
      </c>
      <c r="P55" s="28">
        <v>200</v>
      </c>
      <c r="Q55" s="25" t="s">
        <v>38</v>
      </c>
      <c r="R55" s="25" t="s">
        <v>37</v>
      </c>
      <c r="S55" s="29">
        <v>265</v>
      </c>
      <c r="T55" s="13">
        <v>3</v>
      </c>
      <c r="U55" s="31" t="s">
        <v>136</v>
      </c>
      <c r="V55" s="32" t="s">
        <v>137</v>
      </c>
    </row>
    <row r="56" spans="1:22" ht="24.75" customHeight="1" x14ac:dyDescent="0.25">
      <c r="A56" s="2" t="s">
        <v>92</v>
      </c>
      <c r="B56" s="4" t="s">
        <v>93</v>
      </c>
      <c r="C56" s="2" t="s">
        <v>130</v>
      </c>
      <c r="D56" s="5">
        <v>160</v>
      </c>
      <c r="E56" s="5"/>
      <c r="F56" s="5">
        <v>18</v>
      </c>
      <c r="G56" s="5">
        <v>14</v>
      </c>
      <c r="H56" s="5">
        <v>275.857142857143</v>
      </c>
      <c r="I56" s="5">
        <v>206.892857142857</v>
      </c>
      <c r="J56" s="2" t="s">
        <v>205</v>
      </c>
      <c r="K56" s="24" t="s">
        <v>38</v>
      </c>
      <c r="L56" s="25" t="s">
        <v>37</v>
      </c>
      <c r="M56" s="26">
        <v>245</v>
      </c>
      <c r="N56" s="27" t="s">
        <v>26</v>
      </c>
      <c r="O56" s="27" t="s">
        <v>25</v>
      </c>
      <c r="P56" s="28">
        <v>360</v>
      </c>
      <c r="Q56" s="25"/>
      <c r="R56" s="25"/>
      <c r="S56" s="29"/>
      <c r="T56" s="6">
        <v>2</v>
      </c>
      <c r="U56" s="3" t="s">
        <v>132</v>
      </c>
      <c r="V56" s="30" t="s">
        <v>133</v>
      </c>
    </row>
    <row r="57" spans="1:22" ht="24.75" customHeight="1" x14ac:dyDescent="0.25">
      <c r="A57" s="10" t="s">
        <v>94</v>
      </c>
      <c r="B57" s="11" t="s">
        <v>95</v>
      </c>
      <c r="C57" s="10" t="s">
        <v>130</v>
      </c>
      <c r="D57" s="12">
        <v>160</v>
      </c>
      <c r="E57" s="12"/>
      <c r="F57" s="12">
        <v>18</v>
      </c>
      <c r="G57" s="12">
        <v>7</v>
      </c>
      <c r="H57" s="12">
        <v>268.857142857143</v>
      </c>
      <c r="I57" s="12">
        <v>201.642857142857</v>
      </c>
      <c r="J57" s="10" t="s">
        <v>205</v>
      </c>
      <c r="K57" s="24" t="s">
        <v>38</v>
      </c>
      <c r="L57" s="25" t="s">
        <v>37</v>
      </c>
      <c r="M57" s="26">
        <v>240</v>
      </c>
      <c r="N57" s="27" t="s">
        <v>26</v>
      </c>
      <c r="O57" s="27" t="s">
        <v>25</v>
      </c>
      <c r="P57" s="28">
        <v>360</v>
      </c>
      <c r="Q57" s="25"/>
      <c r="R57" s="25"/>
      <c r="S57" s="29"/>
      <c r="T57" s="13">
        <v>2</v>
      </c>
      <c r="U57" s="3" t="s">
        <v>132</v>
      </c>
      <c r="V57" s="32" t="s">
        <v>133</v>
      </c>
    </row>
    <row r="58" spans="1:22" ht="24.75" customHeight="1" x14ac:dyDescent="0.25">
      <c r="A58" s="2" t="s">
        <v>206</v>
      </c>
      <c r="B58" s="4" t="s">
        <v>207</v>
      </c>
      <c r="C58" s="2" t="s">
        <v>130</v>
      </c>
      <c r="D58" s="5">
        <v>160</v>
      </c>
      <c r="E58" s="5"/>
      <c r="F58" s="5">
        <v>18</v>
      </c>
      <c r="G58" s="5">
        <v>1</v>
      </c>
      <c r="H58" s="5">
        <v>269</v>
      </c>
      <c r="I58" s="5">
        <v>201.75</v>
      </c>
      <c r="J58" s="2" t="s">
        <v>205</v>
      </c>
      <c r="K58" s="24" t="s">
        <v>38</v>
      </c>
      <c r="L58" s="25" t="s">
        <v>37</v>
      </c>
      <c r="M58" s="26">
        <v>240</v>
      </c>
      <c r="N58" s="27" t="s">
        <v>26</v>
      </c>
      <c r="O58" s="27" t="s">
        <v>25</v>
      </c>
      <c r="P58" s="28">
        <v>360</v>
      </c>
      <c r="Q58" s="25"/>
      <c r="R58" s="25"/>
      <c r="S58" s="29"/>
      <c r="T58" s="6">
        <v>2</v>
      </c>
      <c r="U58" s="33" t="s">
        <v>140</v>
      </c>
      <c r="V58" s="30" t="s">
        <v>133</v>
      </c>
    </row>
    <row r="59" spans="1:22" ht="24.75" customHeight="1" x14ac:dyDescent="0.25">
      <c r="A59" s="10" t="s">
        <v>208</v>
      </c>
      <c r="B59" s="11" t="s">
        <v>209</v>
      </c>
      <c r="C59" s="10" t="s">
        <v>130</v>
      </c>
      <c r="D59" s="12">
        <v>160</v>
      </c>
      <c r="E59" s="12"/>
      <c r="F59" s="12">
        <v>24.4</v>
      </c>
      <c r="G59" s="12">
        <v>9</v>
      </c>
      <c r="H59" s="12">
        <v>263.777777777778</v>
      </c>
      <c r="I59" s="12">
        <v>268.17407407407399</v>
      </c>
      <c r="J59" s="10" t="s">
        <v>205</v>
      </c>
      <c r="K59" s="34" t="s">
        <v>38</v>
      </c>
      <c r="L59" s="35" t="s">
        <v>37</v>
      </c>
      <c r="M59" s="36">
        <v>231</v>
      </c>
      <c r="N59" s="27" t="s">
        <v>26</v>
      </c>
      <c r="O59" s="27" t="s">
        <v>25</v>
      </c>
      <c r="P59" s="28">
        <v>380</v>
      </c>
      <c r="Q59" s="25"/>
      <c r="R59" s="25"/>
      <c r="S59" s="29"/>
      <c r="T59" s="13">
        <v>2</v>
      </c>
      <c r="U59" s="3" t="s">
        <v>132</v>
      </c>
      <c r="V59" s="32" t="s">
        <v>133</v>
      </c>
    </row>
    <row r="60" spans="1:22" ht="24.75" customHeight="1" x14ac:dyDescent="0.25">
      <c r="A60" s="2" t="s">
        <v>210</v>
      </c>
      <c r="B60" s="4" t="s">
        <v>211</v>
      </c>
      <c r="C60" s="2" t="s">
        <v>130</v>
      </c>
      <c r="D60" s="5">
        <v>160</v>
      </c>
      <c r="E60" s="5">
        <v>6.2</v>
      </c>
      <c r="F60" s="5">
        <v>25.5</v>
      </c>
      <c r="G60" s="5">
        <v>13</v>
      </c>
      <c r="H60" s="5">
        <v>208.30769230769201</v>
      </c>
      <c r="I60" s="5">
        <v>221.32692307692301</v>
      </c>
      <c r="J60" s="2" t="s">
        <v>205</v>
      </c>
      <c r="K60" s="24" t="s">
        <v>38</v>
      </c>
      <c r="L60" s="25" t="s">
        <v>37</v>
      </c>
      <c r="M60" s="26">
        <v>245</v>
      </c>
      <c r="N60" s="27" t="s">
        <v>26</v>
      </c>
      <c r="O60" s="27" t="s">
        <v>25</v>
      </c>
      <c r="P60" s="28">
        <v>365</v>
      </c>
      <c r="Q60" s="25"/>
      <c r="R60" s="25"/>
      <c r="S60" s="29"/>
      <c r="T60" s="6">
        <v>2</v>
      </c>
      <c r="U60" s="3" t="s">
        <v>132</v>
      </c>
      <c r="V60" s="30" t="s">
        <v>133</v>
      </c>
    </row>
    <row r="61" spans="1:22" ht="24.75" customHeight="1" x14ac:dyDescent="0.25">
      <c r="A61" s="10" t="s">
        <v>212</v>
      </c>
      <c r="B61" s="11" t="s">
        <v>213</v>
      </c>
      <c r="C61" s="10" t="s">
        <v>130</v>
      </c>
      <c r="D61" s="12">
        <v>160</v>
      </c>
      <c r="E61" s="12">
        <v>6.2</v>
      </c>
      <c r="F61" s="12">
        <v>27.2</v>
      </c>
      <c r="G61" s="12">
        <v>34</v>
      </c>
      <c r="H61" s="12">
        <v>247.8</v>
      </c>
      <c r="I61" s="12">
        <v>280.83999999999997</v>
      </c>
      <c r="J61" s="10" t="s">
        <v>205</v>
      </c>
      <c r="K61" s="24" t="s">
        <v>38</v>
      </c>
      <c r="L61" s="25" t="s">
        <v>37</v>
      </c>
      <c r="M61" s="26">
        <v>265</v>
      </c>
      <c r="N61" s="27" t="s">
        <v>26</v>
      </c>
      <c r="O61" s="27" t="s">
        <v>25</v>
      </c>
      <c r="P61" s="28">
        <v>385</v>
      </c>
      <c r="Q61" s="25"/>
      <c r="R61" s="25"/>
      <c r="S61" s="29"/>
      <c r="T61" s="13">
        <v>2</v>
      </c>
      <c r="U61" s="3" t="s">
        <v>132</v>
      </c>
      <c r="V61" s="32" t="s">
        <v>133</v>
      </c>
    </row>
    <row r="62" spans="1:22" ht="24.75" customHeight="1" x14ac:dyDescent="0.25">
      <c r="A62" s="2" t="s">
        <v>214</v>
      </c>
      <c r="B62" s="4" t="s">
        <v>215</v>
      </c>
      <c r="C62" s="2" t="s">
        <v>130</v>
      </c>
      <c r="D62" s="5">
        <v>160</v>
      </c>
      <c r="E62" s="5"/>
      <c r="F62" s="5">
        <v>32</v>
      </c>
      <c r="G62" s="5">
        <v>9</v>
      </c>
      <c r="H62" s="5">
        <v>224.555555555556</v>
      </c>
      <c r="I62" s="5">
        <v>299.40740740740699</v>
      </c>
      <c r="J62" s="2" t="s">
        <v>205</v>
      </c>
      <c r="K62" s="24" t="s">
        <v>38</v>
      </c>
      <c r="L62" s="25" t="s">
        <v>37</v>
      </c>
      <c r="M62" s="26">
        <v>275</v>
      </c>
      <c r="N62" s="27" t="s">
        <v>26</v>
      </c>
      <c r="O62" s="27" t="s">
        <v>25</v>
      </c>
      <c r="P62" s="28">
        <v>390</v>
      </c>
      <c r="Q62" s="25"/>
      <c r="R62" s="25"/>
      <c r="S62" s="29"/>
      <c r="T62" s="6">
        <v>2</v>
      </c>
      <c r="U62" s="3" t="s">
        <v>132</v>
      </c>
      <c r="V62" s="30" t="s">
        <v>133</v>
      </c>
    </row>
    <row r="63" spans="1:22" ht="24.75" customHeight="1" x14ac:dyDescent="0.25">
      <c r="A63" s="10" t="s">
        <v>216</v>
      </c>
      <c r="B63" s="11" t="s">
        <v>217</v>
      </c>
      <c r="C63" s="10" t="s">
        <v>130</v>
      </c>
      <c r="D63" s="12">
        <v>160</v>
      </c>
      <c r="E63" s="12"/>
      <c r="F63" s="12">
        <v>36.5</v>
      </c>
      <c r="G63" s="12">
        <v>250</v>
      </c>
      <c r="H63" s="12">
        <v>621.65</v>
      </c>
      <c r="I63" s="12">
        <v>945.42604166666695</v>
      </c>
      <c r="J63" s="10" t="s">
        <v>205</v>
      </c>
      <c r="K63" s="34" t="s">
        <v>26</v>
      </c>
      <c r="L63" s="35" t="s">
        <v>25</v>
      </c>
      <c r="M63" s="36">
        <v>429</v>
      </c>
      <c r="N63" s="27" t="s">
        <v>38</v>
      </c>
      <c r="O63" s="27" t="s">
        <v>37</v>
      </c>
      <c r="P63" s="28">
        <v>300</v>
      </c>
      <c r="Q63" s="25"/>
      <c r="R63" s="25"/>
      <c r="S63" s="29"/>
      <c r="T63" s="13">
        <v>2</v>
      </c>
      <c r="U63" s="3" t="s">
        <v>132</v>
      </c>
      <c r="V63" s="32" t="s">
        <v>133</v>
      </c>
    </row>
    <row r="64" spans="1:22" ht="24.75" customHeight="1" x14ac:dyDescent="0.25">
      <c r="A64" s="2" t="s">
        <v>218</v>
      </c>
      <c r="B64" s="4" t="s">
        <v>219</v>
      </c>
      <c r="C64" s="2" t="s">
        <v>130</v>
      </c>
      <c r="D64" s="5">
        <v>160</v>
      </c>
      <c r="E64" s="5"/>
      <c r="F64" s="5">
        <v>38.6</v>
      </c>
      <c r="G64" s="5">
        <v>5</v>
      </c>
      <c r="H64" s="5">
        <v>200</v>
      </c>
      <c r="I64" s="5">
        <v>321.66666666666703</v>
      </c>
      <c r="J64" s="2" t="s">
        <v>205</v>
      </c>
      <c r="K64" s="24" t="s">
        <v>26</v>
      </c>
      <c r="L64" s="25" t="s">
        <v>25</v>
      </c>
      <c r="M64" s="26">
        <v>395</v>
      </c>
      <c r="N64" s="27" t="s">
        <v>38</v>
      </c>
      <c r="O64" s="27" t="s">
        <v>37</v>
      </c>
      <c r="P64" s="28">
        <v>280</v>
      </c>
      <c r="Q64" s="25"/>
      <c r="R64" s="25"/>
      <c r="S64" s="29"/>
      <c r="T64" s="6">
        <v>2</v>
      </c>
      <c r="U64" s="33" t="s">
        <v>140</v>
      </c>
      <c r="V64" s="30" t="s">
        <v>133</v>
      </c>
    </row>
    <row r="65" spans="1:22" ht="24.75" customHeight="1" x14ac:dyDescent="0.25">
      <c r="A65" s="10" t="s">
        <v>100</v>
      </c>
      <c r="B65" s="11" t="s">
        <v>101</v>
      </c>
      <c r="C65" s="10" t="s">
        <v>130</v>
      </c>
      <c r="D65" s="12">
        <v>160</v>
      </c>
      <c r="E65" s="12">
        <v>11.8</v>
      </c>
      <c r="F65" s="12">
        <v>50</v>
      </c>
      <c r="G65" s="12">
        <v>33</v>
      </c>
      <c r="H65" s="12">
        <v>230.35</v>
      </c>
      <c r="I65" s="12">
        <v>479.89583333333297</v>
      </c>
      <c r="J65" s="10" t="s">
        <v>205</v>
      </c>
      <c r="K65" s="24" t="s">
        <v>26</v>
      </c>
      <c r="L65" s="25" t="s">
        <v>25</v>
      </c>
      <c r="M65" s="26">
        <v>445</v>
      </c>
      <c r="N65" s="27" t="s">
        <v>38</v>
      </c>
      <c r="O65" s="27" t="s">
        <v>37</v>
      </c>
      <c r="P65" s="28">
        <v>300</v>
      </c>
      <c r="Q65" s="25"/>
      <c r="R65" s="25"/>
      <c r="S65" s="29"/>
      <c r="T65" s="13">
        <v>2</v>
      </c>
      <c r="U65" s="3" t="s">
        <v>132</v>
      </c>
      <c r="V65" s="32" t="s">
        <v>133</v>
      </c>
    </row>
    <row r="66" spans="1:22" ht="24.75" customHeight="1" x14ac:dyDescent="0.25">
      <c r="A66" s="2" t="s">
        <v>220</v>
      </c>
      <c r="B66" s="4" t="s">
        <v>221</v>
      </c>
      <c r="C66" s="2" t="s">
        <v>130</v>
      </c>
      <c r="D66" s="5">
        <v>160</v>
      </c>
      <c r="E66" s="5"/>
      <c r="F66" s="5">
        <v>56</v>
      </c>
      <c r="G66" s="5">
        <v>1</v>
      </c>
      <c r="H66" s="5">
        <v>33</v>
      </c>
      <c r="I66" s="5">
        <v>77</v>
      </c>
      <c r="J66" s="2" t="s">
        <v>205</v>
      </c>
      <c r="K66" s="24" t="s">
        <v>26</v>
      </c>
      <c r="L66" s="25" t="s">
        <v>25</v>
      </c>
      <c r="M66" s="26">
        <v>325</v>
      </c>
      <c r="N66" s="27" t="s">
        <v>38</v>
      </c>
      <c r="O66" s="27" t="s">
        <v>37</v>
      </c>
      <c r="P66" s="28">
        <v>210</v>
      </c>
      <c r="Q66" s="25"/>
      <c r="R66" s="25"/>
      <c r="S66" s="29"/>
      <c r="T66" s="6">
        <v>2</v>
      </c>
      <c r="U66" s="33" t="s">
        <v>140</v>
      </c>
      <c r="V66" s="30" t="s">
        <v>133</v>
      </c>
    </row>
    <row r="67" spans="1:22" ht="24.75" customHeight="1" x14ac:dyDescent="0.25">
      <c r="A67" s="10" t="s">
        <v>222</v>
      </c>
      <c r="B67" s="11" t="s">
        <v>223</v>
      </c>
      <c r="C67" s="10" t="s">
        <v>130</v>
      </c>
      <c r="D67" s="12">
        <v>160</v>
      </c>
      <c r="E67" s="12"/>
      <c r="F67" s="12"/>
      <c r="G67" s="12">
        <v>3</v>
      </c>
      <c r="H67" s="12">
        <v>111.333333333333</v>
      </c>
      <c r="I67" s="12"/>
      <c r="J67" s="10" t="s">
        <v>205</v>
      </c>
      <c r="K67" s="24" t="s">
        <v>38</v>
      </c>
      <c r="L67" s="25" t="s">
        <v>37</v>
      </c>
      <c r="M67" s="26">
        <v>260</v>
      </c>
      <c r="N67" s="27" t="s">
        <v>26</v>
      </c>
      <c r="O67" s="27" t="s">
        <v>25</v>
      </c>
      <c r="P67" s="28">
        <v>430</v>
      </c>
      <c r="Q67" s="25"/>
      <c r="R67" s="25"/>
      <c r="S67" s="29"/>
      <c r="T67" s="13">
        <v>2</v>
      </c>
      <c r="U67" s="31" t="s">
        <v>136</v>
      </c>
      <c r="V67" s="32" t="s">
        <v>137</v>
      </c>
    </row>
    <row r="68" spans="1:22" ht="24.75" customHeight="1" x14ac:dyDescent="0.25">
      <c r="A68" s="2" t="s">
        <v>224</v>
      </c>
      <c r="B68" s="4" t="s">
        <v>225</v>
      </c>
      <c r="C68" s="2" t="s">
        <v>130</v>
      </c>
      <c r="D68" s="5">
        <v>160</v>
      </c>
      <c r="E68" s="5"/>
      <c r="F68" s="5"/>
      <c r="G68" s="5">
        <v>18</v>
      </c>
      <c r="H68" s="5">
        <v>216.555555555556</v>
      </c>
      <c r="I68" s="5"/>
      <c r="J68" s="2" t="s">
        <v>205</v>
      </c>
      <c r="K68" s="24" t="s">
        <v>38</v>
      </c>
      <c r="L68" s="25" t="s">
        <v>37</v>
      </c>
      <c r="M68" s="26">
        <v>260</v>
      </c>
      <c r="N68" s="27" t="s">
        <v>26</v>
      </c>
      <c r="O68" s="27" t="s">
        <v>25</v>
      </c>
      <c r="P68" s="28">
        <v>430</v>
      </c>
      <c r="Q68" s="25"/>
      <c r="R68" s="25"/>
      <c r="S68" s="29"/>
      <c r="T68" s="6">
        <v>2</v>
      </c>
      <c r="U68" s="31" t="s">
        <v>136</v>
      </c>
      <c r="V68" s="30" t="s">
        <v>137</v>
      </c>
    </row>
    <row r="69" spans="1:22" ht="24.75" customHeight="1" x14ac:dyDescent="0.25">
      <c r="A69" s="10" t="s">
        <v>226</v>
      </c>
      <c r="B69" s="11" t="s">
        <v>227</v>
      </c>
      <c r="C69" s="10" t="s">
        <v>130</v>
      </c>
      <c r="D69" s="12">
        <v>168.3</v>
      </c>
      <c r="E69" s="12"/>
      <c r="F69" s="12">
        <v>25.5</v>
      </c>
      <c r="G69" s="12">
        <v>24</v>
      </c>
      <c r="H69" s="12">
        <v>212.15</v>
      </c>
      <c r="I69" s="12">
        <v>225.40937500000001</v>
      </c>
      <c r="J69" s="10" t="s">
        <v>205</v>
      </c>
      <c r="K69" s="24" t="s">
        <v>38</v>
      </c>
      <c r="L69" s="25" t="s">
        <v>37</v>
      </c>
      <c r="M69" s="26">
        <v>255</v>
      </c>
      <c r="N69" s="27" t="s">
        <v>26</v>
      </c>
      <c r="O69" s="27" t="s">
        <v>25</v>
      </c>
      <c r="P69" s="28">
        <v>370</v>
      </c>
      <c r="Q69" s="25"/>
      <c r="R69" s="25"/>
      <c r="S69" s="29"/>
      <c r="T69" s="13">
        <v>2</v>
      </c>
      <c r="U69" s="3" t="s">
        <v>132</v>
      </c>
      <c r="V69" s="32" t="s">
        <v>133</v>
      </c>
    </row>
    <row r="70" spans="1:22" ht="24.75" customHeight="1" x14ac:dyDescent="0.25">
      <c r="A70" s="2" t="s">
        <v>228</v>
      </c>
      <c r="B70" s="4" t="s">
        <v>229</v>
      </c>
      <c r="C70" s="2" t="s">
        <v>130</v>
      </c>
      <c r="D70" s="5">
        <v>168.3</v>
      </c>
      <c r="E70" s="5"/>
      <c r="F70" s="5">
        <v>30.5</v>
      </c>
      <c r="G70" s="5">
        <v>15</v>
      </c>
      <c r="H70" s="5">
        <v>183.53333333333299</v>
      </c>
      <c r="I70" s="5">
        <v>233.240277777778</v>
      </c>
      <c r="J70" s="2" t="s">
        <v>205</v>
      </c>
      <c r="K70" s="34" t="s">
        <v>38</v>
      </c>
      <c r="L70" s="35" t="s">
        <v>37</v>
      </c>
      <c r="M70" s="36">
        <v>294</v>
      </c>
      <c r="N70" s="27" t="s">
        <v>26</v>
      </c>
      <c r="O70" s="27" t="s">
        <v>25</v>
      </c>
      <c r="P70" s="28">
        <v>370</v>
      </c>
      <c r="Q70" s="25"/>
      <c r="R70" s="25"/>
      <c r="S70" s="29"/>
      <c r="T70" s="6">
        <v>2</v>
      </c>
      <c r="U70" s="3" t="s">
        <v>132</v>
      </c>
      <c r="V70" s="30" t="s">
        <v>133</v>
      </c>
    </row>
    <row r="71" spans="1:22" ht="24.75" customHeight="1" x14ac:dyDescent="0.25">
      <c r="A71" s="10" t="s">
        <v>230</v>
      </c>
      <c r="B71" s="11" t="s">
        <v>231</v>
      </c>
      <c r="C71" s="10" t="s">
        <v>130</v>
      </c>
      <c r="D71" s="12">
        <v>200</v>
      </c>
      <c r="E71" s="12">
        <v>6.2</v>
      </c>
      <c r="F71" s="12">
        <v>38.299999999999997</v>
      </c>
      <c r="G71" s="12">
        <v>10</v>
      </c>
      <c r="H71" s="12">
        <v>166.4</v>
      </c>
      <c r="I71" s="12">
        <v>265.54666666666702</v>
      </c>
      <c r="J71" s="10" t="s">
        <v>205</v>
      </c>
      <c r="K71" s="24" t="s">
        <v>38</v>
      </c>
      <c r="L71" s="25" t="s">
        <v>37</v>
      </c>
      <c r="M71" s="26">
        <v>270</v>
      </c>
      <c r="N71" s="27" t="s">
        <v>26</v>
      </c>
      <c r="O71" s="27" t="s">
        <v>25</v>
      </c>
      <c r="P71" s="28">
        <v>380</v>
      </c>
      <c r="Q71" s="25"/>
      <c r="R71" s="25"/>
      <c r="S71" s="29"/>
      <c r="T71" s="13">
        <v>2</v>
      </c>
      <c r="U71" s="3" t="s">
        <v>132</v>
      </c>
      <c r="V71" s="32" t="s">
        <v>133</v>
      </c>
    </row>
    <row r="72" spans="1:22" ht="24.75" customHeight="1" x14ac:dyDescent="0.25">
      <c r="A72" s="2" t="s">
        <v>27</v>
      </c>
      <c r="B72" s="4" t="s">
        <v>28</v>
      </c>
      <c r="C72" s="2" t="s">
        <v>130</v>
      </c>
      <c r="D72" s="5">
        <v>200</v>
      </c>
      <c r="E72" s="5">
        <v>9.6</v>
      </c>
      <c r="F72" s="5">
        <v>58</v>
      </c>
      <c r="G72" s="5">
        <v>64</v>
      </c>
      <c r="H72" s="5">
        <v>264.39999999999998</v>
      </c>
      <c r="I72" s="5">
        <v>638.96666666666704</v>
      </c>
      <c r="J72" s="2" t="s">
        <v>205</v>
      </c>
      <c r="K72" s="37" t="s">
        <v>26</v>
      </c>
      <c r="L72" s="38" t="s">
        <v>25</v>
      </c>
      <c r="M72" s="39">
        <v>450</v>
      </c>
      <c r="N72" s="27" t="s">
        <v>38</v>
      </c>
      <c r="O72" s="27" t="s">
        <v>37</v>
      </c>
      <c r="P72" s="28">
        <v>300</v>
      </c>
      <c r="Q72" s="25"/>
      <c r="R72" s="25"/>
      <c r="S72" s="29"/>
      <c r="T72" s="6">
        <v>2</v>
      </c>
      <c r="U72" s="3" t="s">
        <v>132</v>
      </c>
      <c r="V72" s="30" t="s">
        <v>133</v>
      </c>
    </row>
    <row r="73" spans="1:22" ht="24.75" customHeight="1" x14ac:dyDescent="0.25">
      <c r="A73" s="10" t="s">
        <v>102</v>
      </c>
      <c r="B73" s="11" t="s">
        <v>103</v>
      </c>
      <c r="C73" s="10" t="s">
        <v>130</v>
      </c>
      <c r="D73" s="12">
        <v>200</v>
      </c>
      <c r="E73" s="12">
        <v>14.7</v>
      </c>
      <c r="F73" s="12">
        <v>85</v>
      </c>
      <c r="G73" s="12">
        <v>12</v>
      </c>
      <c r="H73" s="12">
        <v>88.8333333333333</v>
      </c>
      <c r="I73" s="12">
        <v>314.618055555556</v>
      </c>
      <c r="J73" s="10" t="s">
        <v>205</v>
      </c>
      <c r="K73" s="24" t="s">
        <v>26</v>
      </c>
      <c r="L73" s="25" t="s">
        <v>25</v>
      </c>
      <c r="M73" s="26">
        <v>395</v>
      </c>
      <c r="N73" s="27" t="s">
        <v>38</v>
      </c>
      <c r="O73" s="27" t="s">
        <v>37</v>
      </c>
      <c r="P73" s="28">
        <v>280</v>
      </c>
      <c r="Q73" s="25"/>
      <c r="R73" s="25"/>
      <c r="S73" s="29"/>
      <c r="T73" s="13">
        <v>2</v>
      </c>
      <c r="U73" s="3" t="s">
        <v>132</v>
      </c>
      <c r="V73" s="32" t="s">
        <v>133</v>
      </c>
    </row>
    <row r="74" spans="1:22" ht="24.75" customHeight="1" x14ac:dyDescent="0.25">
      <c r="A74" s="2" t="s">
        <v>232</v>
      </c>
      <c r="B74" s="4" t="s">
        <v>233</v>
      </c>
      <c r="C74" s="2" t="s">
        <v>130</v>
      </c>
      <c r="D74" s="5">
        <v>250</v>
      </c>
      <c r="E74" s="5">
        <v>18.600000000000001</v>
      </c>
      <c r="F74" s="5">
        <v>120</v>
      </c>
      <c r="G74" s="5">
        <v>2</v>
      </c>
      <c r="H74" s="5">
        <v>80</v>
      </c>
      <c r="I74" s="5">
        <v>400</v>
      </c>
      <c r="J74" s="2" t="s">
        <v>205</v>
      </c>
      <c r="K74" s="24" t="s">
        <v>26</v>
      </c>
      <c r="L74" s="25" t="s">
        <v>25</v>
      </c>
      <c r="M74" s="26">
        <v>420</v>
      </c>
      <c r="N74" s="27"/>
      <c r="O74" s="27"/>
      <c r="P74" s="28"/>
      <c r="Q74" s="25"/>
      <c r="R74" s="25"/>
      <c r="S74" s="29"/>
      <c r="T74" s="6">
        <v>1</v>
      </c>
      <c r="U74" s="33" t="s">
        <v>140</v>
      </c>
      <c r="V74" s="30" t="s">
        <v>133</v>
      </c>
    </row>
    <row r="75" spans="1:22" ht="24.75" customHeight="1" x14ac:dyDescent="0.25">
      <c r="A75" s="10" t="s">
        <v>104</v>
      </c>
      <c r="B75" s="11" t="s">
        <v>105</v>
      </c>
      <c r="C75" s="10" t="s">
        <v>130</v>
      </c>
      <c r="D75" s="12">
        <v>315</v>
      </c>
      <c r="E75" s="12">
        <v>15</v>
      </c>
      <c r="F75" s="12">
        <v>146</v>
      </c>
      <c r="G75" s="12">
        <v>24</v>
      </c>
      <c r="H75" s="12">
        <v>86.85</v>
      </c>
      <c r="I75" s="12">
        <v>528.33749999999998</v>
      </c>
      <c r="J75" s="10" t="s">
        <v>234</v>
      </c>
      <c r="K75" s="24" t="s">
        <v>26</v>
      </c>
      <c r="L75" s="25" t="s">
        <v>25</v>
      </c>
      <c r="M75" s="26">
        <v>450</v>
      </c>
      <c r="N75" s="27"/>
      <c r="O75" s="27"/>
      <c r="P75" s="28"/>
      <c r="Q75" s="25"/>
      <c r="R75" s="25"/>
      <c r="S75" s="29"/>
      <c r="T75" s="13">
        <v>1</v>
      </c>
      <c r="U75" s="31" t="s">
        <v>136</v>
      </c>
      <c r="V75" s="32" t="s">
        <v>235</v>
      </c>
    </row>
    <row r="76" spans="1:22" ht="24.75" customHeight="1" x14ac:dyDescent="0.25">
      <c r="A76" s="2" t="s">
        <v>107</v>
      </c>
      <c r="B76" s="4" t="s">
        <v>108</v>
      </c>
      <c r="C76" s="2" t="s">
        <v>130</v>
      </c>
      <c r="D76" s="5">
        <v>400</v>
      </c>
      <c r="E76" s="5">
        <v>19.100000000000001</v>
      </c>
      <c r="F76" s="5">
        <v>232</v>
      </c>
      <c r="G76" s="5">
        <v>4</v>
      </c>
      <c r="H76" s="5">
        <v>37.75</v>
      </c>
      <c r="I76" s="5">
        <v>364.91666666666703</v>
      </c>
      <c r="J76" s="2" t="s">
        <v>234</v>
      </c>
      <c r="K76" s="24" t="s">
        <v>26</v>
      </c>
      <c r="L76" s="25" t="s">
        <v>25</v>
      </c>
      <c r="M76" s="26">
        <v>410</v>
      </c>
      <c r="N76" s="27"/>
      <c r="O76" s="27"/>
      <c r="P76" s="28"/>
      <c r="Q76" s="25"/>
      <c r="R76" s="25"/>
      <c r="S76" s="29"/>
      <c r="T76" s="6">
        <v>1</v>
      </c>
      <c r="U76" s="31" t="s">
        <v>136</v>
      </c>
      <c r="V76" s="30" t="s">
        <v>235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zoomScaleNormal="100" workbookViewId="0"/>
  </sheetViews>
  <sheetFormatPr defaultColWidth="8.6640625" defaultRowHeight="13.2" x14ac:dyDescent="0.25"/>
  <cols>
    <col min="1" max="1" width="10" customWidth="1"/>
    <col min="2" max="2" width="17" customWidth="1"/>
    <col min="3" max="3" width="14" customWidth="1"/>
    <col min="4" max="4" width="15" customWidth="1"/>
    <col min="5" max="5" width="17" customWidth="1"/>
    <col min="6" max="7" width="13" customWidth="1"/>
    <col min="8" max="8" width="31" customWidth="1"/>
    <col min="9" max="9" width="48" customWidth="1"/>
  </cols>
  <sheetData>
    <row r="1" spans="1:9" ht="60.6" customHeight="1" x14ac:dyDescent="0.25">
      <c r="A1" s="1" t="s">
        <v>236</v>
      </c>
      <c r="B1" s="1" t="s">
        <v>1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 spans="1:9" ht="19.95" customHeight="1" x14ac:dyDescent="0.25">
      <c r="A2" s="41" t="s">
        <v>244</v>
      </c>
      <c r="B2" s="41" t="s">
        <v>245</v>
      </c>
      <c r="C2" s="42">
        <v>400</v>
      </c>
      <c r="D2" s="43"/>
      <c r="E2" s="41"/>
      <c r="F2" s="44"/>
      <c r="G2" s="41"/>
      <c r="H2" s="41"/>
      <c r="I2" s="45"/>
    </row>
    <row r="3" spans="1:9" ht="19.95" customHeight="1" x14ac:dyDescent="0.25">
      <c r="A3" s="41" t="s">
        <v>17</v>
      </c>
      <c r="B3" s="41" t="s">
        <v>246</v>
      </c>
      <c r="C3" s="42">
        <v>200</v>
      </c>
      <c r="D3" s="43" t="s">
        <v>131</v>
      </c>
      <c r="E3" s="41" t="s">
        <v>247</v>
      </c>
      <c r="F3" s="44" t="s">
        <v>19</v>
      </c>
      <c r="G3" s="41" t="s">
        <v>20</v>
      </c>
      <c r="H3" s="41" t="s">
        <v>248</v>
      </c>
      <c r="I3" s="45" t="s">
        <v>249</v>
      </c>
    </row>
    <row r="4" spans="1:9" ht="19.95" customHeight="1" x14ac:dyDescent="0.25">
      <c r="A4" s="46" t="s">
        <v>25</v>
      </c>
      <c r="B4" s="46" t="s">
        <v>26</v>
      </c>
      <c r="C4" s="47">
        <v>500</v>
      </c>
      <c r="D4" s="48" t="s">
        <v>205</v>
      </c>
      <c r="E4" s="46" t="s">
        <v>250</v>
      </c>
      <c r="F4" s="44" t="s">
        <v>19</v>
      </c>
      <c r="G4" s="46" t="s">
        <v>27</v>
      </c>
      <c r="H4" s="46" t="s">
        <v>251</v>
      </c>
      <c r="I4" s="49" t="s">
        <v>252</v>
      </c>
    </row>
    <row r="5" spans="1:9" ht="19.95" customHeight="1" x14ac:dyDescent="0.25">
      <c r="A5" s="41" t="s">
        <v>29</v>
      </c>
      <c r="B5" s="41" t="s">
        <v>30</v>
      </c>
      <c r="C5" s="42">
        <v>200</v>
      </c>
      <c r="D5" s="50" t="s">
        <v>140</v>
      </c>
      <c r="E5" s="41" t="s">
        <v>250</v>
      </c>
      <c r="F5" s="51" t="s">
        <v>31</v>
      </c>
      <c r="G5" s="41"/>
      <c r="H5" s="41" t="s">
        <v>253</v>
      </c>
      <c r="I5" s="45" t="s">
        <v>254</v>
      </c>
    </row>
    <row r="6" spans="1:9" ht="19.95" customHeight="1" x14ac:dyDescent="0.25">
      <c r="A6" s="46" t="s">
        <v>33</v>
      </c>
      <c r="B6" s="46" t="s">
        <v>34</v>
      </c>
      <c r="C6" s="47">
        <v>330</v>
      </c>
      <c r="D6" s="50" t="s">
        <v>140</v>
      </c>
      <c r="E6" s="46" t="s">
        <v>250</v>
      </c>
      <c r="F6" s="44" t="s">
        <v>19</v>
      </c>
      <c r="G6" s="46" t="s">
        <v>35</v>
      </c>
      <c r="H6" s="46" t="s">
        <v>255</v>
      </c>
      <c r="I6" s="49" t="s">
        <v>256</v>
      </c>
    </row>
    <row r="7" spans="1:9" ht="19.95" customHeight="1" x14ac:dyDescent="0.25">
      <c r="A7" s="41" t="s">
        <v>37</v>
      </c>
      <c r="B7" s="41" t="s">
        <v>38</v>
      </c>
      <c r="C7" s="42">
        <v>380</v>
      </c>
      <c r="D7" s="48" t="s">
        <v>205</v>
      </c>
      <c r="E7" s="41" t="s">
        <v>250</v>
      </c>
      <c r="F7" s="51" t="s">
        <v>31</v>
      </c>
      <c r="G7" s="41"/>
      <c r="H7" s="41" t="s">
        <v>257</v>
      </c>
      <c r="I7" s="45" t="s">
        <v>258</v>
      </c>
    </row>
    <row r="8" spans="1:9" ht="19.95" customHeight="1" x14ac:dyDescent="0.25">
      <c r="A8" s="46" t="s">
        <v>39</v>
      </c>
      <c r="B8" s="46" t="s">
        <v>40</v>
      </c>
      <c r="C8" s="47">
        <v>150</v>
      </c>
      <c r="D8" s="43" t="s">
        <v>131</v>
      </c>
      <c r="E8" s="46" t="s">
        <v>250</v>
      </c>
      <c r="F8" s="51" t="s">
        <v>31</v>
      </c>
      <c r="G8" s="46"/>
      <c r="H8" s="46" t="s">
        <v>259</v>
      </c>
      <c r="I8" s="49" t="s">
        <v>260</v>
      </c>
    </row>
    <row r="9" spans="1:9" ht="19.95" customHeight="1" x14ac:dyDescent="0.25">
      <c r="A9" s="41" t="s">
        <v>41</v>
      </c>
      <c r="B9" s="41" t="s">
        <v>42</v>
      </c>
      <c r="C9" s="42">
        <v>300</v>
      </c>
      <c r="D9" s="50" t="s">
        <v>140</v>
      </c>
      <c r="E9" s="41" t="s">
        <v>247</v>
      </c>
      <c r="F9" s="44" t="s">
        <v>19</v>
      </c>
      <c r="G9" s="41" t="s">
        <v>43</v>
      </c>
      <c r="H9" s="41" t="s">
        <v>261</v>
      </c>
      <c r="I9" s="45" t="s">
        <v>262</v>
      </c>
    </row>
    <row r="10" spans="1:9" ht="19.95" customHeight="1" x14ac:dyDescent="0.25">
      <c r="A10" s="2" t="s">
        <v>263</v>
      </c>
      <c r="B10" s="2" t="s">
        <v>264</v>
      </c>
      <c r="C10" s="6">
        <v>1100</v>
      </c>
      <c r="D10" s="52"/>
      <c r="E10" s="2"/>
      <c r="F10" s="3"/>
      <c r="G10" s="2"/>
      <c r="H10" s="2"/>
      <c r="I10" s="4"/>
    </row>
    <row r="11" spans="1:9" ht="16.05" customHeight="1" x14ac:dyDescent="0.25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zoomScaleNormal="100" workbookViewId="0">
      <pane ySplit="1" topLeftCell="A39" activePane="bottomLeft" state="frozen"/>
      <selection pane="bottomLeft" activeCell="B57" sqref="B57"/>
    </sheetView>
  </sheetViews>
  <sheetFormatPr defaultColWidth="8.77734375" defaultRowHeight="14.4" x14ac:dyDescent="0.3"/>
  <cols>
    <col min="1" max="1" width="13.44140625" style="53" customWidth="1"/>
    <col min="2" max="2" width="11.33203125" style="53" customWidth="1"/>
    <col min="3" max="3" width="30.88671875" style="54" customWidth="1"/>
    <col min="4" max="4" width="13.44140625" style="53" customWidth="1"/>
    <col min="5" max="5" width="19.6640625" style="53" customWidth="1"/>
    <col min="6" max="6" width="16.88671875" style="53" customWidth="1"/>
    <col min="7" max="7" width="17.6640625" style="53" customWidth="1"/>
    <col min="8" max="8" width="21.109375" style="53" customWidth="1"/>
    <col min="9" max="9" width="16.77734375" style="53" customWidth="1"/>
    <col min="10" max="10" width="15.5546875" style="53" customWidth="1"/>
    <col min="11" max="16384" width="8.77734375" style="53"/>
  </cols>
  <sheetData>
    <row r="1" spans="1:10" ht="55.2" customHeight="1" x14ac:dyDescent="0.3">
      <c r="A1" s="120" t="s">
        <v>265</v>
      </c>
      <c r="B1" s="121" t="s">
        <v>266</v>
      </c>
      <c r="C1" s="122" t="s">
        <v>267</v>
      </c>
      <c r="D1" s="121" t="s">
        <v>268</v>
      </c>
      <c r="E1" s="121" t="s">
        <v>269</v>
      </c>
      <c r="F1" s="121" t="s">
        <v>270</v>
      </c>
      <c r="G1" s="121" t="s">
        <v>271</v>
      </c>
      <c r="H1" s="121" t="s">
        <v>272</v>
      </c>
      <c r="I1" s="121" t="s">
        <v>273</v>
      </c>
      <c r="J1" s="123" t="s">
        <v>274</v>
      </c>
    </row>
    <row r="2" spans="1:10" ht="15" x14ac:dyDescent="0.3">
      <c r="A2" s="55" t="s">
        <v>275</v>
      </c>
      <c r="B2" s="56" t="s">
        <v>90</v>
      </c>
      <c r="C2" s="57" t="s">
        <v>276</v>
      </c>
      <c r="D2" s="56" t="s">
        <v>277</v>
      </c>
      <c r="E2" s="58">
        <v>392</v>
      </c>
      <c r="F2" s="59">
        <v>17.3</v>
      </c>
      <c r="G2" s="59">
        <v>6782</v>
      </c>
      <c r="H2" s="58">
        <v>0</v>
      </c>
      <c r="I2" s="58">
        <v>24</v>
      </c>
      <c r="J2" s="60"/>
    </row>
    <row r="3" spans="1:10" ht="15" x14ac:dyDescent="0.3">
      <c r="A3" s="55" t="s">
        <v>275</v>
      </c>
      <c r="B3" s="56" t="s">
        <v>88</v>
      </c>
      <c r="C3" s="57" t="s">
        <v>278</v>
      </c>
      <c r="D3" s="56" t="s">
        <v>279</v>
      </c>
      <c r="E3" s="58">
        <v>140</v>
      </c>
      <c r="F3" s="59">
        <v>16</v>
      </c>
      <c r="G3" s="59">
        <v>2240</v>
      </c>
      <c r="H3" s="58">
        <v>40</v>
      </c>
      <c r="I3" s="58">
        <v>12</v>
      </c>
      <c r="J3" s="60"/>
    </row>
    <row r="4" spans="1:10" ht="15" x14ac:dyDescent="0.3">
      <c r="A4" s="55" t="s">
        <v>275</v>
      </c>
      <c r="B4" s="56" t="s">
        <v>75</v>
      </c>
      <c r="C4" s="57" t="s">
        <v>280</v>
      </c>
      <c r="D4" s="56" t="s">
        <v>281</v>
      </c>
      <c r="E4" s="58">
        <v>700</v>
      </c>
      <c r="F4" s="59">
        <v>8.1999999999999993</v>
      </c>
      <c r="G4" s="59">
        <v>5740</v>
      </c>
      <c r="H4" s="58">
        <v>0</v>
      </c>
      <c r="I4" s="58">
        <v>24</v>
      </c>
      <c r="J4" s="60"/>
    </row>
    <row r="5" spans="1:10" ht="15" x14ac:dyDescent="0.3">
      <c r="A5" s="55" t="s">
        <v>275</v>
      </c>
      <c r="B5" s="56" t="s">
        <v>171</v>
      </c>
      <c r="C5" s="57" t="s">
        <v>282</v>
      </c>
      <c r="D5" s="56" t="s">
        <v>283</v>
      </c>
      <c r="E5" s="58">
        <v>900</v>
      </c>
      <c r="F5" s="59">
        <v>3.8</v>
      </c>
      <c r="G5" s="59">
        <v>3420</v>
      </c>
      <c r="H5" s="58">
        <v>0</v>
      </c>
      <c r="I5" s="58">
        <v>24</v>
      </c>
      <c r="J5" s="60"/>
    </row>
    <row r="6" spans="1:10" ht="15" x14ac:dyDescent="0.3">
      <c r="A6" s="55" t="s">
        <v>275</v>
      </c>
      <c r="B6" s="56" t="s">
        <v>151</v>
      </c>
      <c r="C6" s="57" t="s">
        <v>284</v>
      </c>
      <c r="D6" s="56" t="s">
        <v>285</v>
      </c>
      <c r="E6" s="58">
        <v>600</v>
      </c>
      <c r="F6" s="59">
        <v>1.6</v>
      </c>
      <c r="G6" s="59">
        <v>960</v>
      </c>
      <c r="H6" s="58">
        <v>0</v>
      </c>
      <c r="I6" s="58">
        <v>12</v>
      </c>
      <c r="J6" s="60"/>
    </row>
    <row r="7" spans="1:10" ht="15" x14ac:dyDescent="0.3">
      <c r="A7" s="55" t="s">
        <v>286</v>
      </c>
      <c r="B7" s="56" t="s">
        <v>88</v>
      </c>
      <c r="C7" s="57" t="s">
        <v>278</v>
      </c>
      <c r="D7" s="56" t="s">
        <v>279</v>
      </c>
      <c r="E7" s="58">
        <v>448</v>
      </c>
      <c r="F7" s="59">
        <v>16</v>
      </c>
      <c r="G7" s="59">
        <v>7168</v>
      </c>
      <c r="H7" s="58">
        <v>0</v>
      </c>
      <c r="I7" s="58">
        <v>24</v>
      </c>
      <c r="J7" s="60"/>
    </row>
    <row r="8" spans="1:10" ht="15" x14ac:dyDescent="0.3">
      <c r="A8" s="55" t="s">
        <v>286</v>
      </c>
      <c r="B8" s="56" t="s">
        <v>90</v>
      </c>
      <c r="C8" s="57" t="s">
        <v>276</v>
      </c>
      <c r="D8" s="56" t="s">
        <v>277</v>
      </c>
      <c r="E8" s="58">
        <v>420</v>
      </c>
      <c r="F8" s="59">
        <v>17.3</v>
      </c>
      <c r="G8" s="59">
        <v>7266</v>
      </c>
      <c r="H8" s="58">
        <v>0</v>
      </c>
      <c r="I8" s="58">
        <v>24</v>
      </c>
      <c r="J8" s="60"/>
    </row>
    <row r="9" spans="1:10" ht="15" x14ac:dyDescent="0.3">
      <c r="A9" s="55" t="s">
        <v>286</v>
      </c>
      <c r="B9" s="56" t="s">
        <v>75</v>
      </c>
      <c r="C9" s="57" t="s">
        <v>280</v>
      </c>
      <c r="D9" s="56" t="s">
        <v>281</v>
      </c>
      <c r="E9" s="58">
        <v>298</v>
      </c>
      <c r="F9" s="59">
        <v>8.1999999999999993</v>
      </c>
      <c r="G9" s="59">
        <v>2444</v>
      </c>
      <c r="H9" s="58">
        <v>0</v>
      </c>
      <c r="I9" s="58">
        <v>11</v>
      </c>
      <c r="J9" s="60"/>
    </row>
    <row r="10" spans="1:10" ht="15" x14ac:dyDescent="0.3">
      <c r="A10" s="55" t="s">
        <v>286</v>
      </c>
      <c r="B10" s="56" t="s">
        <v>185</v>
      </c>
      <c r="C10" s="57" t="s">
        <v>287</v>
      </c>
      <c r="D10" s="56" t="s">
        <v>281</v>
      </c>
      <c r="E10" s="58">
        <v>400</v>
      </c>
      <c r="F10" s="59">
        <v>4</v>
      </c>
      <c r="G10" s="59">
        <v>1600</v>
      </c>
      <c r="H10" s="58">
        <v>15</v>
      </c>
      <c r="I10" s="58">
        <v>12</v>
      </c>
      <c r="J10" s="60"/>
    </row>
    <row r="11" spans="1:10" ht="15" x14ac:dyDescent="0.3">
      <c r="A11" s="55" t="s">
        <v>286</v>
      </c>
      <c r="B11" s="56" t="s">
        <v>151</v>
      </c>
      <c r="C11" s="57" t="s">
        <v>284</v>
      </c>
      <c r="D11" s="56" t="s">
        <v>285</v>
      </c>
      <c r="E11" s="58">
        <v>1600</v>
      </c>
      <c r="F11" s="59">
        <v>1.6</v>
      </c>
      <c r="G11" s="59">
        <v>2560</v>
      </c>
      <c r="H11" s="58">
        <v>0</v>
      </c>
      <c r="I11" s="58">
        <v>24</v>
      </c>
      <c r="J11" s="60"/>
    </row>
    <row r="12" spans="1:10" ht="15" x14ac:dyDescent="0.3">
      <c r="A12" s="55" t="s">
        <v>286</v>
      </c>
      <c r="B12" s="56" t="s">
        <v>171</v>
      </c>
      <c r="C12" s="57" t="s">
        <v>282</v>
      </c>
      <c r="D12" s="56" t="s">
        <v>283</v>
      </c>
      <c r="E12" s="58">
        <v>900</v>
      </c>
      <c r="F12" s="59">
        <v>3.8</v>
      </c>
      <c r="G12" s="59">
        <v>3420</v>
      </c>
      <c r="H12" s="58">
        <v>0</v>
      </c>
      <c r="I12" s="58">
        <v>24</v>
      </c>
      <c r="J12" s="60"/>
    </row>
    <row r="13" spans="1:10" ht="15" x14ac:dyDescent="0.3">
      <c r="A13" s="55" t="s">
        <v>288</v>
      </c>
      <c r="B13" s="56" t="s">
        <v>88</v>
      </c>
      <c r="C13" s="57" t="s">
        <v>278</v>
      </c>
      <c r="D13" s="56" t="s">
        <v>279</v>
      </c>
      <c r="E13" s="58">
        <v>420</v>
      </c>
      <c r="F13" s="59">
        <v>16</v>
      </c>
      <c r="G13" s="59">
        <v>6720</v>
      </c>
      <c r="H13" s="58">
        <v>0</v>
      </c>
      <c r="I13" s="58">
        <v>24</v>
      </c>
      <c r="J13" s="60"/>
    </row>
    <row r="14" spans="1:10" ht="15" x14ac:dyDescent="0.3">
      <c r="A14" s="55" t="s">
        <v>288</v>
      </c>
      <c r="B14" s="56" t="s">
        <v>90</v>
      </c>
      <c r="C14" s="57" t="s">
        <v>276</v>
      </c>
      <c r="D14" s="56" t="s">
        <v>277</v>
      </c>
      <c r="E14" s="58">
        <v>154</v>
      </c>
      <c r="F14" s="59">
        <v>17.3</v>
      </c>
      <c r="G14" s="59">
        <v>2664</v>
      </c>
      <c r="H14" s="58">
        <v>15</v>
      </c>
      <c r="I14" s="58">
        <v>12</v>
      </c>
      <c r="J14" s="60"/>
    </row>
    <row r="15" spans="1:10" ht="15" x14ac:dyDescent="0.3">
      <c r="A15" s="55" t="s">
        <v>288</v>
      </c>
      <c r="B15" s="56" t="s">
        <v>35</v>
      </c>
      <c r="C15" s="57" t="s">
        <v>289</v>
      </c>
      <c r="D15" s="56" t="s">
        <v>277</v>
      </c>
      <c r="E15" s="58">
        <v>175</v>
      </c>
      <c r="F15" s="59">
        <v>15</v>
      </c>
      <c r="G15" s="59">
        <v>2625</v>
      </c>
      <c r="H15" s="58">
        <v>20</v>
      </c>
      <c r="I15" s="58">
        <v>12</v>
      </c>
      <c r="J15" s="60"/>
    </row>
    <row r="16" spans="1:10" ht="15" x14ac:dyDescent="0.3">
      <c r="A16" s="55" t="s">
        <v>288</v>
      </c>
      <c r="B16" s="56" t="s">
        <v>185</v>
      </c>
      <c r="C16" s="57" t="s">
        <v>287</v>
      </c>
      <c r="D16" s="56" t="s">
        <v>281</v>
      </c>
      <c r="E16" s="58">
        <v>1000</v>
      </c>
      <c r="F16" s="59">
        <v>4</v>
      </c>
      <c r="G16" s="59">
        <v>4000</v>
      </c>
      <c r="H16" s="58">
        <v>10</v>
      </c>
      <c r="I16" s="58">
        <v>24</v>
      </c>
      <c r="J16" s="60"/>
    </row>
    <row r="17" spans="1:10" ht="15" x14ac:dyDescent="0.3">
      <c r="A17" s="55" t="s">
        <v>288</v>
      </c>
      <c r="B17" s="56" t="s">
        <v>151</v>
      </c>
      <c r="C17" s="57" t="s">
        <v>284</v>
      </c>
      <c r="D17" s="56" t="s">
        <v>285</v>
      </c>
      <c r="E17" s="58">
        <v>1600</v>
      </c>
      <c r="F17" s="59">
        <v>1.6</v>
      </c>
      <c r="G17" s="59">
        <v>2560</v>
      </c>
      <c r="H17" s="58">
        <v>0</v>
      </c>
      <c r="I17" s="58">
        <v>24</v>
      </c>
      <c r="J17" s="60"/>
    </row>
    <row r="18" spans="1:10" ht="15" x14ac:dyDescent="0.3">
      <c r="A18" s="55" t="s">
        <v>288</v>
      </c>
      <c r="B18" s="56" t="s">
        <v>171</v>
      </c>
      <c r="C18" s="57" t="s">
        <v>282</v>
      </c>
      <c r="D18" s="56" t="s">
        <v>283</v>
      </c>
      <c r="E18" s="58">
        <v>850</v>
      </c>
      <c r="F18" s="59">
        <v>3.8</v>
      </c>
      <c r="G18" s="59">
        <v>3230</v>
      </c>
      <c r="H18" s="58">
        <v>0</v>
      </c>
      <c r="I18" s="58">
        <v>24</v>
      </c>
      <c r="J18" s="60"/>
    </row>
    <row r="19" spans="1:10" ht="15" x14ac:dyDescent="0.3">
      <c r="A19" s="55" t="s">
        <v>290</v>
      </c>
      <c r="B19" s="56" t="s">
        <v>88</v>
      </c>
      <c r="C19" s="57" t="s">
        <v>278</v>
      </c>
      <c r="D19" s="56" t="s">
        <v>279</v>
      </c>
      <c r="E19" s="58">
        <v>448</v>
      </c>
      <c r="F19" s="59">
        <v>16</v>
      </c>
      <c r="G19" s="59">
        <v>7168</v>
      </c>
      <c r="H19" s="58">
        <v>0</v>
      </c>
      <c r="I19" s="58">
        <v>24</v>
      </c>
      <c r="J19" s="60"/>
    </row>
    <row r="20" spans="1:10" ht="15" x14ac:dyDescent="0.3">
      <c r="A20" s="55" t="s">
        <v>290</v>
      </c>
      <c r="B20" s="56" t="s">
        <v>35</v>
      </c>
      <c r="C20" s="57" t="s">
        <v>289</v>
      </c>
      <c r="D20" s="56" t="s">
        <v>277</v>
      </c>
      <c r="E20" s="58">
        <v>420</v>
      </c>
      <c r="F20" s="59">
        <v>15</v>
      </c>
      <c r="G20" s="59">
        <v>6300</v>
      </c>
      <c r="H20" s="58">
        <v>0</v>
      </c>
      <c r="I20" s="58">
        <v>24</v>
      </c>
      <c r="J20" s="60"/>
    </row>
    <row r="21" spans="1:10" ht="15" x14ac:dyDescent="0.3">
      <c r="A21" s="55" t="s">
        <v>290</v>
      </c>
      <c r="B21" s="56" t="s">
        <v>185</v>
      </c>
      <c r="C21" s="57" t="s">
        <v>287</v>
      </c>
      <c r="D21" s="56" t="s">
        <v>281</v>
      </c>
      <c r="E21" s="58">
        <v>609</v>
      </c>
      <c r="F21" s="59">
        <v>4</v>
      </c>
      <c r="G21" s="59">
        <v>2436</v>
      </c>
      <c r="H21" s="58">
        <v>10</v>
      </c>
      <c r="I21" s="58">
        <v>13</v>
      </c>
      <c r="J21" s="60"/>
    </row>
    <row r="22" spans="1:10" ht="15" x14ac:dyDescent="0.3">
      <c r="A22" s="55" t="s">
        <v>290</v>
      </c>
      <c r="B22" s="56" t="s">
        <v>216</v>
      </c>
      <c r="C22" s="57" t="s">
        <v>291</v>
      </c>
      <c r="D22" s="56" t="s">
        <v>292</v>
      </c>
      <c r="E22" s="58">
        <v>60</v>
      </c>
      <c r="F22" s="59">
        <v>36.5</v>
      </c>
      <c r="G22" s="59">
        <v>2190</v>
      </c>
      <c r="H22" s="58">
        <v>85</v>
      </c>
      <c r="I22" s="58">
        <v>5</v>
      </c>
      <c r="J22" s="60"/>
    </row>
    <row r="23" spans="1:10" ht="15" x14ac:dyDescent="0.3">
      <c r="A23" s="55" t="s">
        <v>290</v>
      </c>
      <c r="B23" s="56" t="s">
        <v>151</v>
      </c>
      <c r="C23" s="57" t="s">
        <v>284</v>
      </c>
      <c r="D23" s="56" t="s">
        <v>285</v>
      </c>
      <c r="E23" s="58">
        <v>237</v>
      </c>
      <c r="F23" s="59">
        <v>1.6</v>
      </c>
      <c r="G23" s="59">
        <v>379</v>
      </c>
      <c r="H23" s="58">
        <v>5</v>
      </c>
      <c r="I23" s="58">
        <v>4</v>
      </c>
      <c r="J23" s="60"/>
    </row>
    <row r="24" spans="1:10" ht="15" x14ac:dyDescent="0.3">
      <c r="A24" s="55" t="s">
        <v>290</v>
      </c>
      <c r="B24" s="56" t="s">
        <v>171</v>
      </c>
      <c r="C24" s="57" t="s">
        <v>282</v>
      </c>
      <c r="D24" s="56" t="s">
        <v>283</v>
      </c>
      <c r="E24" s="58">
        <v>350</v>
      </c>
      <c r="F24" s="59">
        <v>3.8</v>
      </c>
      <c r="G24" s="59">
        <v>1330</v>
      </c>
      <c r="H24" s="58">
        <v>5</v>
      </c>
      <c r="I24" s="58">
        <v>11</v>
      </c>
      <c r="J24" s="60"/>
    </row>
    <row r="25" spans="1:10" ht="15" x14ac:dyDescent="0.3">
      <c r="A25" s="55" t="s">
        <v>290</v>
      </c>
      <c r="B25" s="56" t="s">
        <v>63</v>
      </c>
      <c r="C25" s="57" t="s">
        <v>293</v>
      </c>
      <c r="D25" s="56" t="s">
        <v>285</v>
      </c>
      <c r="E25" s="58">
        <v>500</v>
      </c>
      <c r="F25" s="59">
        <v>2.8</v>
      </c>
      <c r="G25" s="59">
        <v>1400</v>
      </c>
      <c r="H25" s="58">
        <v>0</v>
      </c>
      <c r="I25" s="58">
        <v>10</v>
      </c>
      <c r="J25" s="60"/>
    </row>
    <row r="26" spans="1:10" ht="15" x14ac:dyDescent="0.3">
      <c r="A26" s="55" t="s">
        <v>294</v>
      </c>
      <c r="B26" s="56" t="s">
        <v>216</v>
      </c>
      <c r="C26" s="57" t="s">
        <v>291</v>
      </c>
      <c r="D26" s="56" t="s">
        <v>292</v>
      </c>
      <c r="E26" s="58">
        <v>285</v>
      </c>
      <c r="F26" s="59">
        <v>36.5</v>
      </c>
      <c r="G26" s="59">
        <v>10403</v>
      </c>
      <c r="H26" s="58">
        <v>50</v>
      </c>
      <c r="I26" s="58">
        <v>24</v>
      </c>
      <c r="J26" s="60"/>
    </row>
    <row r="27" spans="1:10" ht="15" x14ac:dyDescent="0.3">
      <c r="A27" s="55" t="s">
        <v>294</v>
      </c>
      <c r="B27" s="56" t="s">
        <v>208</v>
      </c>
      <c r="C27" s="57" t="s">
        <v>295</v>
      </c>
      <c r="D27" s="56" t="s">
        <v>279</v>
      </c>
      <c r="E27" s="58">
        <v>84</v>
      </c>
      <c r="F27" s="59">
        <v>22</v>
      </c>
      <c r="G27" s="59">
        <v>1848</v>
      </c>
      <c r="H27" s="58">
        <v>20</v>
      </c>
      <c r="I27" s="58">
        <v>8</v>
      </c>
      <c r="J27" s="60"/>
    </row>
    <row r="28" spans="1:10" ht="15" x14ac:dyDescent="0.3">
      <c r="A28" s="55" t="s">
        <v>294</v>
      </c>
      <c r="B28" s="56" t="s">
        <v>88</v>
      </c>
      <c r="C28" s="57" t="s">
        <v>278</v>
      </c>
      <c r="D28" s="56" t="s">
        <v>279</v>
      </c>
      <c r="E28" s="58">
        <v>224</v>
      </c>
      <c r="F28" s="59">
        <v>16</v>
      </c>
      <c r="G28" s="59">
        <v>3584</v>
      </c>
      <c r="H28" s="58">
        <v>40</v>
      </c>
      <c r="I28" s="58">
        <v>14</v>
      </c>
      <c r="J28" s="60"/>
    </row>
    <row r="29" spans="1:10" ht="15" x14ac:dyDescent="0.3">
      <c r="A29" s="55" t="s">
        <v>294</v>
      </c>
      <c r="B29" s="56" t="s">
        <v>90</v>
      </c>
      <c r="C29" s="57" t="s">
        <v>276</v>
      </c>
      <c r="D29" s="56" t="s">
        <v>277</v>
      </c>
      <c r="E29" s="58">
        <v>364</v>
      </c>
      <c r="F29" s="59">
        <v>17.3</v>
      </c>
      <c r="G29" s="59">
        <v>6297</v>
      </c>
      <c r="H29" s="58">
        <v>40</v>
      </c>
      <c r="I29" s="58">
        <v>24</v>
      </c>
      <c r="J29" s="60"/>
    </row>
    <row r="30" spans="1:10" ht="15" x14ac:dyDescent="0.3">
      <c r="A30" s="55" t="s">
        <v>294</v>
      </c>
      <c r="B30" s="56" t="s">
        <v>63</v>
      </c>
      <c r="C30" s="57" t="s">
        <v>293</v>
      </c>
      <c r="D30" s="56" t="s">
        <v>285</v>
      </c>
      <c r="E30" s="58">
        <v>315</v>
      </c>
      <c r="F30" s="59">
        <v>2.8</v>
      </c>
      <c r="G30" s="59">
        <v>882</v>
      </c>
      <c r="H30" s="58">
        <v>5</v>
      </c>
      <c r="I30" s="58">
        <v>6</v>
      </c>
      <c r="J30" s="60"/>
    </row>
    <row r="31" spans="1:10" ht="15" x14ac:dyDescent="0.3">
      <c r="A31" s="55" t="s">
        <v>296</v>
      </c>
      <c r="B31" s="56" t="s">
        <v>216</v>
      </c>
      <c r="C31" s="57" t="s">
        <v>291</v>
      </c>
      <c r="D31" s="56" t="s">
        <v>292</v>
      </c>
      <c r="E31" s="58">
        <v>285</v>
      </c>
      <c r="F31" s="59">
        <v>36.5</v>
      </c>
      <c r="G31" s="59">
        <v>10403</v>
      </c>
      <c r="H31" s="58">
        <v>0</v>
      </c>
      <c r="I31" s="58">
        <v>24</v>
      </c>
      <c r="J31" s="60"/>
    </row>
    <row r="32" spans="1:10" ht="15" x14ac:dyDescent="0.3">
      <c r="A32" s="55" t="s">
        <v>296</v>
      </c>
      <c r="B32" s="56" t="s">
        <v>88</v>
      </c>
      <c r="C32" s="57" t="s">
        <v>278</v>
      </c>
      <c r="D32" s="56" t="s">
        <v>279</v>
      </c>
      <c r="E32" s="58">
        <v>420</v>
      </c>
      <c r="F32" s="59">
        <v>16</v>
      </c>
      <c r="G32" s="59">
        <v>6720</v>
      </c>
      <c r="H32" s="58">
        <v>0</v>
      </c>
      <c r="I32" s="58">
        <v>24</v>
      </c>
      <c r="J32" s="60"/>
    </row>
    <row r="33" spans="1:10" ht="15" x14ac:dyDescent="0.3">
      <c r="A33" s="55" t="s">
        <v>296</v>
      </c>
      <c r="B33" s="56" t="s">
        <v>90</v>
      </c>
      <c r="C33" s="57" t="s">
        <v>276</v>
      </c>
      <c r="D33" s="56" t="s">
        <v>277</v>
      </c>
      <c r="E33" s="58">
        <v>364</v>
      </c>
      <c r="F33" s="59">
        <v>15</v>
      </c>
      <c r="G33" s="59">
        <v>5460</v>
      </c>
      <c r="H33" s="58">
        <v>0</v>
      </c>
      <c r="I33" s="58">
        <v>24</v>
      </c>
      <c r="J33" s="60"/>
    </row>
    <row r="34" spans="1:10" ht="15" x14ac:dyDescent="0.3">
      <c r="A34" s="55" t="s">
        <v>297</v>
      </c>
      <c r="B34" s="56" t="s">
        <v>216</v>
      </c>
      <c r="C34" s="57" t="s">
        <v>291</v>
      </c>
      <c r="D34" s="56" t="s">
        <v>292</v>
      </c>
      <c r="E34" s="58">
        <v>285</v>
      </c>
      <c r="F34" s="59">
        <v>36.5</v>
      </c>
      <c r="G34" s="59">
        <v>10403</v>
      </c>
      <c r="H34" s="58">
        <v>0</v>
      </c>
      <c r="I34" s="58">
        <v>24</v>
      </c>
      <c r="J34" s="60"/>
    </row>
    <row r="35" spans="1:10" ht="15" x14ac:dyDescent="0.3">
      <c r="A35" s="55" t="s">
        <v>297</v>
      </c>
      <c r="B35" s="56" t="s">
        <v>88</v>
      </c>
      <c r="C35" s="57" t="s">
        <v>278</v>
      </c>
      <c r="D35" s="56" t="s">
        <v>279</v>
      </c>
      <c r="E35" s="58">
        <v>420</v>
      </c>
      <c r="F35" s="59">
        <v>16</v>
      </c>
      <c r="G35" s="59">
        <v>6720</v>
      </c>
      <c r="H35" s="58">
        <v>35</v>
      </c>
      <c r="I35" s="58">
        <v>24</v>
      </c>
      <c r="J35" s="60"/>
    </row>
    <row r="36" spans="1:10" ht="15" x14ac:dyDescent="0.3">
      <c r="A36" s="55" t="s">
        <v>297</v>
      </c>
      <c r="B36" s="56" t="s">
        <v>90</v>
      </c>
      <c r="C36" s="57" t="s">
        <v>276</v>
      </c>
      <c r="D36" s="56" t="s">
        <v>277</v>
      </c>
      <c r="E36" s="58">
        <v>420</v>
      </c>
      <c r="F36" s="59">
        <v>17.3</v>
      </c>
      <c r="G36" s="59">
        <v>7266</v>
      </c>
      <c r="H36" s="58">
        <v>0</v>
      </c>
      <c r="I36" s="58">
        <v>24</v>
      </c>
      <c r="J36" s="60"/>
    </row>
    <row r="37" spans="1:10" ht="15" x14ac:dyDescent="0.3">
      <c r="A37" s="55" t="s">
        <v>297</v>
      </c>
      <c r="B37" s="56" t="s">
        <v>157</v>
      </c>
      <c r="C37" s="57" t="s">
        <v>298</v>
      </c>
      <c r="D37" s="56" t="s">
        <v>285</v>
      </c>
      <c r="E37" s="58">
        <v>800</v>
      </c>
      <c r="F37" s="59">
        <v>1.6</v>
      </c>
      <c r="G37" s="59">
        <v>1280</v>
      </c>
      <c r="H37" s="58">
        <v>5</v>
      </c>
      <c r="I37" s="58">
        <v>12</v>
      </c>
      <c r="J37" s="60"/>
    </row>
    <row r="38" spans="1:10" ht="15" x14ac:dyDescent="0.3">
      <c r="A38" s="55" t="s">
        <v>297</v>
      </c>
      <c r="B38" s="56" t="s">
        <v>299</v>
      </c>
      <c r="C38" s="57" t="s">
        <v>300</v>
      </c>
      <c r="D38" s="56" t="s">
        <v>301</v>
      </c>
      <c r="E38" s="58">
        <v>3000</v>
      </c>
      <c r="F38" s="59">
        <v>1</v>
      </c>
      <c r="G38" s="59">
        <v>3000</v>
      </c>
      <c r="H38" s="58">
        <v>0</v>
      </c>
      <c r="I38" s="58">
        <v>12</v>
      </c>
      <c r="J38" s="60"/>
    </row>
    <row r="39" spans="1:10" ht="15" x14ac:dyDescent="0.3">
      <c r="A39" s="55" t="s">
        <v>302</v>
      </c>
      <c r="B39" s="56" t="s">
        <v>216</v>
      </c>
      <c r="C39" s="57" t="s">
        <v>291</v>
      </c>
      <c r="D39" s="56" t="s">
        <v>292</v>
      </c>
      <c r="E39" s="58">
        <v>96</v>
      </c>
      <c r="F39" s="59">
        <v>36.5</v>
      </c>
      <c r="G39" s="59">
        <v>3504</v>
      </c>
      <c r="H39" s="58">
        <v>180</v>
      </c>
      <c r="I39" s="58">
        <v>9</v>
      </c>
      <c r="J39" s="60"/>
    </row>
    <row r="40" spans="1:10" ht="15" x14ac:dyDescent="0.3">
      <c r="A40" s="55" t="s">
        <v>302</v>
      </c>
      <c r="B40" s="56" t="s">
        <v>88</v>
      </c>
      <c r="C40" s="57" t="s">
        <v>278</v>
      </c>
      <c r="D40" s="56" t="s">
        <v>277</v>
      </c>
      <c r="E40" s="58">
        <v>420</v>
      </c>
      <c r="F40" s="59">
        <v>16</v>
      </c>
      <c r="G40" s="59">
        <v>6720</v>
      </c>
      <c r="H40" s="58">
        <v>0</v>
      </c>
      <c r="I40" s="58">
        <v>24</v>
      </c>
      <c r="J40" s="60"/>
    </row>
    <row r="41" spans="1:10" ht="15" x14ac:dyDescent="0.3">
      <c r="A41" s="55" t="s">
        <v>302</v>
      </c>
      <c r="B41" s="56" t="s">
        <v>228</v>
      </c>
      <c r="C41" s="57" t="s">
        <v>303</v>
      </c>
      <c r="D41" s="56" t="s">
        <v>279</v>
      </c>
      <c r="E41" s="58">
        <v>135</v>
      </c>
      <c r="F41" s="59">
        <v>30.5</v>
      </c>
      <c r="G41" s="59">
        <v>4118</v>
      </c>
      <c r="H41" s="58">
        <v>80</v>
      </c>
      <c r="I41" s="58">
        <v>14</v>
      </c>
      <c r="J41" s="60"/>
    </row>
    <row r="42" spans="1:10" ht="15" x14ac:dyDescent="0.3">
      <c r="A42" s="55" t="s">
        <v>302</v>
      </c>
      <c r="B42" s="56" t="s">
        <v>90</v>
      </c>
      <c r="C42" s="57" t="s">
        <v>276</v>
      </c>
      <c r="D42" s="56" t="s">
        <v>279</v>
      </c>
      <c r="E42" s="58">
        <v>75</v>
      </c>
      <c r="F42" s="59">
        <v>17.3</v>
      </c>
      <c r="G42" s="59">
        <v>1298</v>
      </c>
      <c r="H42" s="58">
        <v>0</v>
      </c>
      <c r="I42" s="58">
        <v>5</v>
      </c>
      <c r="J42" s="60"/>
    </row>
    <row r="43" spans="1:10" ht="15" x14ac:dyDescent="0.3">
      <c r="A43" s="55" t="s">
        <v>302</v>
      </c>
      <c r="B43" s="56" t="s">
        <v>157</v>
      </c>
      <c r="C43" s="57" t="s">
        <v>298</v>
      </c>
      <c r="D43" s="56" t="s">
        <v>285</v>
      </c>
      <c r="E43" s="58">
        <v>1210</v>
      </c>
      <c r="F43" s="59">
        <v>1.6</v>
      </c>
      <c r="G43" s="59">
        <v>1936</v>
      </c>
      <c r="H43" s="58">
        <v>0</v>
      </c>
      <c r="I43" s="58">
        <v>16</v>
      </c>
      <c r="J43" s="60"/>
    </row>
    <row r="44" spans="1:10" ht="15" x14ac:dyDescent="0.3">
      <c r="A44" s="55" t="s">
        <v>302</v>
      </c>
      <c r="B44" s="56" t="s">
        <v>147</v>
      </c>
      <c r="C44" s="57" t="s">
        <v>304</v>
      </c>
      <c r="D44" s="56" t="s">
        <v>285</v>
      </c>
      <c r="E44" s="58">
        <v>400</v>
      </c>
      <c r="F44" s="59">
        <v>1.1000000000000001</v>
      </c>
      <c r="G44" s="59">
        <v>440</v>
      </c>
      <c r="H44" s="58">
        <v>10</v>
      </c>
      <c r="I44" s="58">
        <v>6</v>
      </c>
      <c r="J44" s="60"/>
    </row>
    <row r="45" spans="1:10" ht="15" x14ac:dyDescent="0.3">
      <c r="A45" s="55" t="s">
        <v>302</v>
      </c>
      <c r="B45" s="56" t="s">
        <v>177</v>
      </c>
      <c r="C45" s="57" t="s">
        <v>305</v>
      </c>
      <c r="D45" s="56" t="s">
        <v>283</v>
      </c>
      <c r="E45" s="58">
        <v>450</v>
      </c>
      <c r="F45" s="59">
        <v>5</v>
      </c>
      <c r="G45" s="59">
        <v>2250</v>
      </c>
      <c r="H45" s="58">
        <v>15</v>
      </c>
      <c r="I45" s="58">
        <v>15</v>
      </c>
      <c r="J45" s="60"/>
    </row>
    <row r="46" spans="1:10" ht="15" x14ac:dyDescent="0.3">
      <c r="A46" s="55" t="s">
        <v>302</v>
      </c>
      <c r="B46" s="56" t="s">
        <v>299</v>
      </c>
      <c r="C46" s="57" t="s">
        <v>300</v>
      </c>
      <c r="D46" s="56" t="s">
        <v>301</v>
      </c>
      <c r="E46" s="58">
        <v>8000</v>
      </c>
      <c r="F46" s="59">
        <v>1</v>
      </c>
      <c r="G46" s="59">
        <v>8000</v>
      </c>
      <c r="H46" s="58">
        <v>0</v>
      </c>
      <c r="I46" s="58">
        <v>24</v>
      </c>
      <c r="J46" s="60"/>
    </row>
    <row r="47" spans="1:10" ht="15" x14ac:dyDescent="0.3">
      <c r="A47" s="55" t="s">
        <v>306</v>
      </c>
      <c r="B47" s="56" t="s">
        <v>228</v>
      </c>
      <c r="C47" s="57" t="s">
        <v>303</v>
      </c>
      <c r="D47" s="56" t="s">
        <v>279</v>
      </c>
      <c r="E47" s="58">
        <v>147</v>
      </c>
      <c r="F47" s="59">
        <v>30.5</v>
      </c>
      <c r="G47" s="59">
        <v>4484</v>
      </c>
      <c r="H47" s="58">
        <v>70</v>
      </c>
      <c r="I47" s="58">
        <v>20</v>
      </c>
      <c r="J47" s="60" t="s">
        <v>307</v>
      </c>
    </row>
    <row r="48" spans="1:10" ht="15" x14ac:dyDescent="0.3">
      <c r="A48" s="55" t="s">
        <v>306</v>
      </c>
      <c r="B48" s="56" t="s">
        <v>88</v>
      </c>
      <c r="C48" s="57" t="s">
        <v>278</v>
      </c>
      <c r="D48" s="56" t="s">
        <v>277</v>
      </c>
      <c r="E48" s="58">
        <v>420</v>
      </c>
      <c r="F48" s="59">
        <v>16</v>
      </c>
      <c r="G48" s="59">
        <v>6720</v>
      </c>
      <c r="H48" s="58">
        <v>0</v>
      </c>
      <c r="I48" s="58">
        <v>24</v>
      </c>
      <c r="J48" s="60"/>
    </row>
    <row r="49" spans="1:10" ht="15" x14ac:dyDescent="0.3">
      <c r="A49" s="55" t="s">
        <v>306</v>
      </c>
      <c r="B49" s="56" t="s">
        <v>147</v>
      </c>
      <c r="C49" s="57" t="s">
        <v>304</v>
      </c>
      <c r="D49" s="56" t="s">
        <v>285</v>
      </c>
      <c r="E49" s="58">
        <v>1600</v>
      </c>
      <c r="F49" s="59">
        <v>1.1000000000000001</v>
      </c>
      <c r="G49" s="59">
        <v>1760</v>
      </c>
      <c r="H49" s="58">
        <v>10</v>
      </c>
      <c r="I49" s="58">
        <v>16</v>
      </c>
      <c r="J49" s="60" t="s">
        <v>307</v>
      </c>
    </row>
    <row r="50" spans="1:10" ht="15" x14ac:dyDescent="0.3">
      <c r="A50" s="55" t="s">
        <v>306</v>
      </c>
      <c r="B50" s="56" t="s">
        <v>177</v>
      </c>
      <c r="C50" s="57" t="s">
        <v>305</v>
      </c>
      <c r="D50" s="56" t="s">
        <v>283</v>
      </c>
      <c r="E50" s="58">
        <v>750</v>
      </c>
      <c r="F50" s="59">
        <v>5</v>
      </c>
      <c r="G50" s="59">
        <v>3750</v>
      </c>
      <c r="H50" s="58">
        <v>0</v>
      </c>
      <c r="I50" s="58">
        <v>24</v>
      </c>
      <c r="J50" s="60"/>
    </row>
    <row r="51" spans="1:10" ht="15" x14ac:dyDescent="0.3">
      <c r="A51" s="61" t="s">
        <v>306</v>
      </c>
      <c r="B51" s="62" t="s">
        <v>299</v>
      </c>
      <c r="C51" s="63" t="s">
        <v>300</v>
      </c>
      <c r="D51" s="62" t="s">
        <v>301</v>
      </c>
      <c r="E51" s="64">
        <v>5000</v>
      </c>
      <c r="F51" s="65">
        <v>1</v>
      </c>
      <c r="G51" s="65">
        <v>5000</v>
      </c>
      <c r="H51" s="64">
        <v>0</v>
      </c>
      <c r="I51" s="64">
        <v>24</v>
      </c>
      <c r="J51" s="66"/>
    </row>
    <row r="52" spans="1:10" ht="15" x14ac:dyDescent="0.3">
      <c r="A52" s="55">
        <v>46282</v>
      </c>
      <c r="B52" s="56">
        <v>991</v>
      </c>
      <c r="C52" s="57" t="s">
        <v>278</v>
      </c>
      <c r="D52" s="56" t="s">
        <v>277</v>
      </c>
      <c r="E52" s="58">
        <v>420</v>
      </c>
      <c r="F52" s="59">
        <v>16</v>
      </c>
      <c r="G52" s="59">
        <v>6720</v>
      </c>
      <c r="H52" s="58">
        <v>10</v>
      </c>
      <c r="I52" s="58">
        <v>24</v>
      </c>
      <c r="J52" s="60"/>
    </row>
    <row r="53" spans="1:10" ht="15" x14ac:dyDescent="0.3">
      <c r="A53" s="55">
        <v>46282</v>
      </c>
      <c r="B53" s="56">
        <v>190</v>
      </c>
      <c r="C53" s="57" t="s">
        <v>305</v>
      </c>
      <c r="D53" s="56" t="s">
        <v>283</v>
      </c>
      <c r="E53" s="58">
        <v>654</v>
      </c>
      <c r="F53" s="59">
        <v>5</v>
      </c>
      <c r="G53" s="59">
        <v>3270</v>
      </c>
      <c r="H53" s="58">
        <v>5</v>
      </c>
      <c r="I53" s="58">
        <v>24</v>
      </c>
      <c r="J53" s="60"/>
    </row>
    <row r="54" spans="1:10" ht="15" x14ac:dyDescent="0.3">
      <c r="A54" s="55">
        <v>46282</v>
      </c>
      <c r="B54" s="56">
        <v>1006</v>
      </c>
      <c r="C54" s="57" t="s">
        <v>300</v>
      </c>
      <c r="D54" s="56" t="s">
        <v>301</v>
      </c>
      <c r="E54" s="58">
        <v>8000</v>
      </c>
      <c r="F54" s="59">
        <v>1</v>
      </c>
      <c r="G54" s="59">
        <v>8000</v>
      </c>
      <c r="H54" s="58">
        <v>0</v>
      </c>
      <c r="I54" s="58">
        <v>24</v>
      </c>
      <c r="J54" s="60"/>
    </row>
    <row r="55" spans="1:10" ht="16.8" x14ac:dyDescent="0.3">
      <c r="A55" s="67" t="s">
        <v>308</v>
      </c>
      <c r="B55" s="67"/>
      <c r="C55" s="68"/>
      <c r="D55" s="67"/>
      <c r="E55" s="69">
        <f>SUM(E2:E54)</f>
        <v>48664</v>
      </c>
      <c r="F55" s="67"/>
      <c r="G55" s="70">
        <f>SUM(G2:G54)</f>
        <v>228838</v>
      </c>
      <c r="H55" s="69">
        <f>SUM(H2:H54)</f>
        <v>780</v>
      </c>
      <c r="I55" s="69">
        <f>SUM(I2:I54)</f>
        <v>963</v>
      </c>
      <c r="J55" s="7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13"/>
  <sheetViews>
    <sheetView tabSelected="1" zoomScaleNormal="100" workbookViewId="0">
      <selection activeCell="L9" sqref="L9"/>
    </sheetView>
  </sheetViews>
  <sheetFormatPr defaultColWidth="8.77734375" defaultRowHeight="14.4" x14ac:dyDescent="0.3"/>
  <cols>
    <col min="1" max="1" width="2.44140625" style="72" customWidth="1"/>
    <col min="2" max="2" width="8.88671875" style="72" customWidth="1"/>
    <col min="3" max="3" width="8" style="72" customWidth="1"/>
    <col min="4" max="4" width="32.44140625" style="72" customWidth="1"/>
    <col min="5" max="5" width="10.77734375" style="72" customWidth="1"/>
    <col min="6" max="6" width="13.77734375" style="72" customWidth="1"/>
    <col min="7" max="7" width="11.5546875" style="72" customWidth="1"/>
    <col min="8" max="8" width="12.5546875" style="72" customWidth="1"/>
    <col min="9" max="9" width="12.33203125" style="72" customWidth="1"/>
    <col min="10" max="10" width="14.88671875" style="72" customWidth="1"/>
    <col min="11" max="11" width="11.5546875" style="72" customWidth="1"/>
    <col min="12" max="12" width="23" style="72" customWidth="1"/>
    <col min="13" max="13" width="18" style="72" customWidth="1"/>
    <col min="14" max="16384" width="8.77734375" style="72"/>
  </cols>
  <sheetData>
    <row r="2" spans="2:13" ht="40.049999999999997" customHeight="1" x14ac:dyDescent="0.3">
      <c r="C2" s="124" t="s">
        <v>309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</row>
    <row r="4" spans="2:13" ht="54" customHeight="1" x14ac:dyDescent="0.3">
      <c r="B4" s="73" t="s">
        <v>265</v>
      </c>
      <c r="C4" s="74" t="s">
        <v>266</v>
      </c>
      <c r="D4" s="74" t="s">
        <v>310</v>
      </c>
      <c r="E4" s="74" t="s">
        <v>311</v>
      </c>
      <c r="F4" s="74" t="s">
        <v>312</v>
      </c>
      <c r="G4" s="74" t="s">
        <v>270</v>
      </c>
      <c r="H4" s="74" t="s">
        <v>313</v>
      </c>
      <c r="I4" s="74" t="s">
        <v>314</v>
      </c>
      <c r="J4" s="74" t="s">
        <v>315</v>
      </c>
      <c r="K4" s="74" t="s">
        <v>271</v>
      </c>
      <c r="L4" s="74" t="s">
        <v>316</v>
      </c>
      <c r="M4" s="74" t="s">
        <v>317</v>
      </c>
    </row>
    <row r="5" spans="2:13" ht="22.05" customHeight="1" x14ac:dyDescent="0.3">
      <c r="B5" s="75">
        <v>46281</v>
      </c>
      <c r="C5" s="76" t="s">
        <v>228</v>
      </c>
      <c r="D5" s="77" t="s">
        <v>318</v>
      </c>
      <c r="E5" s="76" t="s">
        <v>319</v>
      </c>
      <c r="F5" s="76" t="s">
        <v>320</v>
      </c>
      <c r="G5" s="78">
        <v>30.5</v>
      </c>
      <c r="H5" s="79">
        <v>90</v>
      </c>
      <c r="I5" s="79">
        <v>48</v>
      </c>
      <c r="J5" s="79">
        <f t="shared" ref="J5:J10" si="0">H5+I5</f>
        <v>138</v>
      </c>
      <c r="K5" s="78">
        <f t="shared" ref="K5:K10" si="1">J5*G5</f>
        <v>4209</v>
      </c>
      <c r="L5" s="77" t="s">
        <v>321</v>
      </c>
      <c r="M5" s="76" t="s">
        <v>322</v>
      </c>
    </row>
    <row r="6" spans="2:13" ht="22.05" customHeight="1" x14ac:dyDescent="0.3">
      <c r="B6" s="80">
        <v>46281</v>
      </c>
      <c r="C6" s="81" t="s">
        <v>323</v>
      </c>
      <c r="D6" s="82" t="s">
        <v>324</v>
      </c>
      <c r="E6" s="81" t="s">
        <v>319</v>
      </c>
      <c r="F6" s="81" t="s">
        <v>320</v>
      </c>
      <c r="G6" s="83">
        <v>16</v>
      </c>
      <c r="H6" s="84">
        <v>196</v>
      </c>
      <c r="I6" s="84">
        <v>224</v>
      </c>
      <c r="J6" s="84">
        <f t="shared" si="0"/>
        <v>420</v>
      </c>
      <c r="K6" s="83">
        <f t="shared" si="1"/>
        <v>6720</v>
      </c>
      <c r="L6" s="82" t="s">
        <v>325</v>
      </c>
      <c r="M6" s="81" t="s">
        <v>34</v>
      </c>
    </row>
    <row r="7" spans="2:13" ht="22.05" customHeight="1" x14ac:dyDescent="0.3">
      <c r="B7" s="75">
        <v>46281</v>
      </c>
      <c r="C7" s="76" t="s">
        <v>147</v>
      </c>
      <c r="D7" s="77" t="s">
        <v>326</v>
      </c>
      <c r="E7" s="76" t="s">
        <v>319</v>
      </c>
      <c r="F7" s="76" t="s">
        <v>320</v>
      </c>
      <c r="G7" s="78">
        <v>1.1000000000000001</v>
      </c>
      <c r="H7" s="79">
        <v>1000</v>
      </c>
      <c r="I7" s="79">
        <v>610</v>
      </c>
      <c r="J7" s="79">
        <f t="shared" si="0"/>
        <v>1610</v>
      </c>
      <c r="K7" s="78">
        <f t="shared" si="1"/>
        <v>1771.0000000000002</v>
      </c>
      <c r="L7" s="77" t="s">
        <v>327</v>
      </c>
      <c r="M7" s="76" t="s">
        <v>30</v>
      </c>
    </row>
    <row r="8" spans="2:13" ht="22.05" customHeight="1" x14ac:dyDescent="0.3">
      <c r="B8" s="85">
        <v>46281</v>
      </c>
      <c r="C8" s="86" t="s">
        <v>177</v>
      </c>
      <c r="D8" s="87" t="s">
        <v>328</v>
      </c>
      <c r="E8" s="86" t="s">
        <v>319</v>
      </c>
      <c r="F8" s="86" t="s">
        <v>320</v>
      </c>
      <c r="G8" s="88">
        <v>5</v>
      </c>
      <c r="H8" s="89">
        <v>400</v>
      </c>
      <c r="I8" s="89">
        <v>350</v>
      </c>
      <c r="J8" s="89">
        <f t="shared" si="0"/>
        <v>750</v>
      </c>
      <c r="K8" s="88">
        <f t="shared" si="1"/>
        <v>3750</v>
      </c>
      <c r="L8" s="87" t="s">
        <v>329</v>
      </c>
      <c r="M8" s="86" t="s">
        <v>40</v>
      </c>
    </row>
    <row r="9" spans="2:13" ht="25.95" customHeight="1" x14ac:dyDescent="0.3">
      <c r="B9" s="90">
        <v>46282</v>
      </c>
      <c r="C9" s="91" t="s">
        <v>88</v>
      </c>
      <c r="D9" s="91" t="s">
        <v>324</v>
      </c>
      <c r="E9" s="91" t="s">
        <v>319</v>
      </c>
      <c r="F9" s="91" t="s">
        <v>320</v>
      </c>
      <c r="G9" s="92">
        <v>16</v>
      </c>
      <c r="H9" s="93">
        <v>224</v>
      </c>
      <c r="I9" s="93">
        <v>196</v>
      </c>
      <c r="J9" s="93">
        <f t="shared" si="0"/>
        <v>420</v>
      </c>
      <c r="K9" s="92">
        <f t="shared" si="1"/>
        <v>6720</v>
      </c>
      <c r="L9" s="94" t="s">
        <v>325</v>
      </c>
      <c r="M9" s="91" t="s">
        <v>34</v>
      </c>
    </row>
    <row r="10" spans="2:13" ht="15" x14ac:dyDescent="0.3">
      <c r="B10" s="95">
        <v>46282</v>
      </c>
      <c r="C10" s="96" t="s">
        <v>177</v>
      </c>
      <c r="D10" s="96" t="s">
        <v>328</v>
      </c>
      <c r="E10" s="96" t="s">
        <v>319</v>
      </c>
      <c r="F10" s="96" t="s">
        <v>320</v>
      </c>
      <c r="G10" s="97">
        <v>5</v>
      </c>
      <c r="H10" s="98">
        <v>350</v>
      </c>
      <c r="I10" s="98">
        <v>304</v>
      </c>
      <c r="J10" s="98">
        <f t="shared" si="0"/>
        <v>654</v>
      </c>
      <c r="K10" s="97">
        <f t="shared" si="1"/>
        <v>3270</v>
      </c>
      <c r="L10" s="99" t="s">
        <v>329</v>
      </c>
      <c r="M10" s="96" t="s">
        <v>40</v>
      </c>
    </row>
    <row r="11" spans="2:13" ht="16.8" x14ac:dyDescent="0.3">
      <c r="B11" s="125" t="s">
        <v>330</v>
      </c>
      <c r="C11" s="125"/>
      <c r="D11" s="125"/>
      <c r="E11" s="125"/>
      <c r="F11" s="125"/>
      <c r="G11" s="125"/>
      <c r="H11" s="100">
        <f>SUM(H5:H10)</f>
        <v>2260</v>
      </c>
      <c r="I11" s="100">
        <f>SUM(I5:I10)</f>
        <v>1732</v>
      </c>
      <c r="J11" s="100">
        <f>SUM(J5:J10)</f>
        <v>3992</v>
      </c>
      <c r="K11" s="101">
        <f>SUM(K5:K10)</f>
        <v>26440</v>
      </c>
      <c r="L11" s="102"/>
      <c r="M11" s="102"/>
    </row>
    <row r="13" spans="2:13" x14ac:dyDescent="0.3">
      <c r="C13" s="126" t="s">
        <v>331</v>
      </c>
      <c r="D13" s="126"/>
      <c r="E13" s="126"/>
      <c r="F13" s="126"/>
      <c r="G13" s="126"/>
      <c r="H13" s="126"/>
      <c r="I13" s="126"/>
      <c r="J13" s="126"/>
      <c r="K13" s="126"/>
      <c r="L13" s="126"/>
      <c r="M13" s="126"/>
    </row>
  </sheetData>
  <mergeCells count="3">
    <mergeCell ref="C2:M2"/>
    <mergeCell ref="B11:G11"/>
    <mergeCell ref="C13:M13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1"/>
  <sheetViews>
    <sheetView zoomScaleNormal="100" workbookViewId="0">
      <selection activeCell="L6" sqref="L6"/>
    </sheetView>
  </sheetViews>
  <sheetFormatPr defaultColWidth="8.77734375" defaultRowHeight="14.4" x14ac:dyDescent="0.3"/>
  <cols>
    <col min="1" max="1" width="2.33203125" style="72" customWidth="1"/>
    <col min="2" max="2" width="9.77734375" style="72" customWidth="1"/>
    <col min="3" max="3" width="26.33203125" style="72" customWidth="1"/>
    <col min="4" max="4" width="25.88671875" style="72" customWidth="1"/>
    <col min="5" max="5" width="14.44140625" style="72" customWidth="1"/>
    <col min="6" max="6" width="12.5546875" style="72" customWidth="1"/>
    <col min="7" max="7" width="14.6640625" style="72" customWidth="1"/>
    <col min="8" max="9" width="25.21875" style="72" customWidth="1"/>
    <col min="10" max="16384" width="8.77734375" style="72"/>
  </cols>
  <sheetData>
    <row r="2" spans="2:9" ht="40.049999999999997" customHeight="1" x14ac:dyDescent="0.3">
      <c r="C2" s="124" t="s">
        <v>332</v>
      </c>
      <c r="D2" s="124"/>
      <c r="E2" s="124"/>
      <c r="F2" s="124"/>
      <c r="G2" s="124"/>
      <c r="H2" s="124"/>
      <c r="I2" s="124"/>
    </row>
    <row r="4" spans="2:9" ht="24" customHeight="1" x14ac:dyDescent="0.3">
      <c r="C4" s="127" t="s">
        <v>333</v>
      </c>
      <c r="D4" s="127"/>
      <c r="E4" s="127"/>
      <c r="F4" s="127"/>
      <c r="G4" s="127"/>
      <c r="H4" s="127"/>
      <c r="I4" s="127"/>
    </row>
    <row r="5" spans="2:9" ht="38.4" customHeight="1" x14ac:dyDescent="0.3">
      <c r="B5" s="103" t="s">
        <v>265</v>
      </c>
      <c r="C5" s="104" t="s">
        <v>334</v>
      </c>
      <c r="D5" s="105" t="s">
        <v>335</v>
      </c>
      <c r="E5" s="105" t="s">
        <v>336</v>
      </c>
      <c r="F5" s="105" t="s">
        <v>337</v>
      </c>
      <c r="G5" s="105" t="s">
        <v>338</v>
      </c>
      <c r="H5" s="105" t="s">
        <v>339</v>
      </c>
      <c r="I5" s="106" t="s">
        <v>340</v>
      </c>
    </row>
    <row r="6" spans="2:9" ht="22.05" customHeight="1" x14ac:dyDescent="0.3">
      <c r="B6" s="75">
        <v>46281</v>
      </c>
      <c r="C6" s="107" t="s">
        <v>341</v>
      </c>
      <c r="D6" s="107" t="s">
        <v>342</v>
      </c>
      <c r="E6" s="108">
        <v>250</v>
      </c>
      <c r="F6" s="108">
        <v>20</v>
      </c>
      <c r="G6" s="108">
        <v>0</v>
      </c>
      <c r="H6" s="108">
        <f>F6+G6</f>
        <v>20</v>
      </c>
      <c r="I6" s="109">
        <f>H6*E6</f>
        <v>5000</v>
      </c>
    </row>
    <row r="7" spans="2:9" ht="22.05" customHeight="1" x14ac:dyDescent="0.3">
      <c r="B7" s="80">
        <v>46281</v>
      </c>
      <c r="C7" s="110" t="s">
        <v>320</v>
      </c>
      <c r="D7" s="110" t="s">
        <v>343</v>
      </c>
      <c r="E7" s="111">
        <v>250</v>
      </c>
      <c r="F7" s="111">
        <v>20</v>
      </c>
      <c r="G7" s="111">
        <v>27</v>
      </c>
      <c r="H7" s="111">
        <f>F7+G7</f>
        <v>47</v>
      </c>
      <c r="I7" s="89">
        <f>H7*E7</f>
        <v>11750</v>
      </c>
    </row>
    <row r="8" spans="2:9" ht="22.05" customHeight="1" x14ac:dyDescent="0.3">
      <c r="B8" s="85">
        <v>46281</v>
      </c>
      <c r="C8" s="107" t="s">
        <v>344</v>
      </c>
      <c r="D8" s="107" t="s">
        <v>345</v>
      </c>
      <c r="E8" s="108">
        <v>250</v>
      </c>
      <c r="F8" s="108">
        <v>10</v>
      </c>
      <c r="G8" s="108">
        <v>17</v>
      </c>
      <c r="H8" s="108">
        <f>F8+G8</f>
        <v>27</v>
      </c>
      <c r="I8" s="109">
        <f>H8*E8</f>
        <v>6750</v>
      </c>
    </row>
    <row r="9" spans="2:9" ht="24" customHeight="1" x14ac:dyDescent="0.3">
      <c r="B9" s="95">
        <v>46282</v>
      </c>
      <c r="C9" s="96" t="s">
        <v>320</v>
      </c>
      <c r="D9" s="96" t="s">
        <v>343</v>
      </c>
      <c r="E9" s="112">
        <v>250</v>
      </c>
      <c r="F9" s="98">
        <v>17</v>
      </c>
      <c r="G9" s="98">
        <v>12</v>
      </c>
      <c r="H9" s="98">
        <f>F9+G9</f>
        <v>29</v>
      </c>
      <c r="I9" s="98">
        <f>H9*E9</f>
        <v>7250</v>
      </c>
    </row>
    <row r="10" spans="2:9" ht="15" x14ac:dyDescent="0.3">
      <c r="B10" s="90">
        <v>46282</v>
      </c>
      <c r="C10" s="91" t="s">
        <v>344</v>
      </c>
      <c r="D10" s="91" t="s">
        <v>345</v>
      </c>
      <c r="E10" s="113">
        <v>250</v>
      </c>
      <c r="F10" s="93">
        <v>12</v>
      </c>
      <c r="G10" s="93">
        <v>10</v>
      </c>
      <c r="H10" s="93">
        <f>F10+G10</f>
        <v>22</v>
      </c>
      <c r="I10" s="93">
        <f>H10*E10</f>
        <v>5500</v>
      </c>
    </row>
    <row r="11" spans="2:9" ht="25.95" customHeight="1" x14ac:dyDescent="0.3">
      <c r="B11" s="128" t="s">
        <v>339</v>
      </c>
      <c r="C11" s="128"/>
      <c r="D11" s="128"/>
      <c r="E11" s="128"/>
      <c r="F11" s="114">
        <f>SUM(F6:F10)</f>
        <v>79</v>
      </c>
      <c r="G11" s="114">
        <f>SUM(G6:G10)</f>
        <v>66</v>
      </c>
      <c r="H11" s="114">
        <f>SUM(H6:H10)</f>
        <v>145</v>
      </c>
      <c r="I11" s="114">
        <f>SUM(I6:I10)</f>
        <v>36250</v>
      </c>
    </row>
    <row r="12" spans="2:9" ht="25.95" customHeight="1" x14ac:dyDescent="0.3"/>
    <row r="13" spans="2:9" ht="19.95" customHeight="1" x14ac:dyDescent="0.3">
      <c r="C13" s="129" t="s">
        <v>346</v>
      </c>
      <c r="D13" s="129"/>
      <c r="E13" s="129"/>
      <c r="F13" s="129"/>
      <c r="G13" s="129"/>
      <c r="H13" s="129"/>
      <c r="I13" s="129"/>
    </row>
    <row r="14" spans="2:9" ht="42" customHeight="1" x14ac:dyDescent="0.3">
      <c r="C14" s="115" t="s">
        <v>347</v>
      </c>
      <c r="D14" s="115" t="s">
        <v>348</v>
      </c>
      <c r="E14" s="115" t="s">
        <v>349</v>
      </c>
      <c r="F14" s="115" t="s">
        <v>350</v>
      </c>
      <c r="G14" s="115" t="s">
        <v>351</v>
      </c>
      <c r="H14" s="115" t="s">
        <v>352</v>
      </c>
      <c r="I14" s="115" t="s">
        <v>353</v>
      </c>
    </row>
    <row r="15" spans="2:9" ht="19.95" customHeight="1" x14ac:dyDescent="0.3">
      <c r="C15" s="116" t="s">
        <v>354</v>
      </c>
      <c r="D15" s="117">
        <v>250</v>
      </c>
      <c r="E15" s="117">
        <v>250</v>
      </c>
      <c r="F15" s="117">
        <v>250</v>
      </c>
      <c r="G15" s="117" t="s">
        <v>355</v>
      </c>
      <c r="H15" s="130" t="s">
        <v>356</v>
      </c>
      <c r="I15" s="130" t="s">
        <v>357</v>
      </c>
    </row>
    <row r="16" spans="2:9" ht="19.95" customHeight="1" x14ac:dyDescent="0.3">
      <c r="C16" s="118" t="s">
        <v>358</v>
      </c>
      <c r="D16" s="119">
        <v>100</v>
      </c>
      <c r="E16" s="119">
        <v>125</v>
      </c>
      <c r="F16" s="119">
        <v>7.5</v>
      </c>
      <c r="G16" s="119" t="s">
        <v>355</v>
      </c>
      <c r="H16" s="130"/>
      <c r="I16" s="130"/>
    </row>
    <row r="17" spans="3:9" ht="19.95" customHeight="1" x14ac:dyDescent="0.3">
      <c r="C17" s="116" t="s">
        <v>359</v>
      </c>
      <c r="D17" s="117">
        <v>8</v>
      </c>
      <c r="E17" s="117">
        <v>8</v>
      </c>
      <c r="F17" s="117">
        <v>13.75</v>
      </c>
      <c r="G17" s="117" t="s">
        <v>355</v>
      </c>
      <c r="H17" s="130"/>
      <c r="I17" s="130"/>
    </row>
    <row r="18" spans="3:9" ht="19.95" customHeight="1" x14ac:dyDescent="0.3">
      <c r="C18" s="118" t="s">
        <v>360</v>
      </c>
      <c r="D18" s="119">
        <v>1</v>
      </c>
      <c r="E18" s="119">
        <v>2</v>
      </c>
      <c r="F18" s="119" t="s">
        <v>361</v>
      </c>
      <c r="G18" s="119" t="s">
        <v>355</v>
      </c>
      <c r="H18" s="130"/>
      <c r="I18" s="130"/>
    </row>
    <row r="19" spans="3:9" ht="19.95" customHeight="1" x14ac:dyDescent="0.3">
      <c r="C19" s="116" t="s">
        <v>362</v>
      </c>
      <c r="D19" s="117" t="s">
        <v>361</v>
      </c>
      <c r="E19" s="117" t="s">
        <v>361</v>
      </c>
      <c r="F19" s="117">
        <v>830</v>
      </c>
      <c r="G19" s="117" t="s">
        <v>363</v>
      </c>
      <c r="H19" s="130"/>
      <c r="I19" s="130"/>
    </row>
    <row r="20" spans="3:9" ht="19.95" customHeight="1" x14ac:dyDescent="0.3">
      <c r="C20" s="118" t="s">
        <v>364</v>
      </c>
      <c r="D20" s="119" t="s">
        <v>361</v>
      </c>
      <c r="E20" s="119" t="s">
        <v>361</v>
      </c>
      <c r="F20" s="119">
        <v>2.5</v>
      </c>
      <c r="G20" s="119" t="s">
        <v>355</v>
      </c>
      <c r="H20" s="130"/>
      <c r="I20" s="130"/>
    </row>
    <row r="21" spans="3:9" ht="19.95" customHeight="1" x14ac:dyDescent="0.3">
      <c r="C21" s="116" t="s">
        <v>365</v>
      </c>
      <c r="D21" s="117" t="s">
        <v>361</v>
      </c>
      <c r="E21" s="117" t="s">
        <v>361</v>
      </c>
      <c r="F21" s="117">
        <v>2.5</v>
      </c>
      <c r="G21" s="117" t="s">
        <v>355</v>
      </c>
      <c r="H21" s="130"/>
      <c r="I21" s="130"/>
    </row>
    <row r="22" spans="3:9" ht="19.95" customHeight="1" x14ac:dyDescent="0.3">
      <c r="C22" s="118" t="s">
        <v>366</v>
      </c>
      <c r="D22" s="119" t="s">
        <v>361</v>
      </c>
      <c r="E22" s="119" t="s">
        <v>361</v>
      </c>
      <c r="F22" s="119">
        <v>1.25</v>
      </c>
      <c r="G22" s="119" t="s">
        <v>355</v>
      </c>
      <c r="H22" s="130"/>
      <c r="I22" s="130"/>
    </row>
    <row r="23" spans="3:9" ht="19.95" customHeight="1" x14ac:dyDescent="0.3">
      <c r="C23" s="116" t="s">
        <v>367</v>
      </c>
      <c r="D23" s="117" t="s">
        <v>361</v>
      </c>
      <c r="E23" s="117" t="s">
        <v>361</v>
      </c>
      <c r="F23" s="117">
        <v>2.5</v>
      </c>
      <c r="G23" s="117" t="s">
        <v>355</v>
      </c>
      <c r="H23" s="130"/>
      <c r="I23" s="130"/>
    </row>
    <row r="24" spans="3:9" ht="19.95" customHeight="1" x14ac:dyDescent="0.3">
      <c r="C24" s="118" t="s">
        <v>368</v>
      </c>
      <c r="D24" s="119" t="s">
        <v>361</v>
      </c>
      <c r="E24" s="119" t="s">
        <v>361</v>
      </c>
      <c r="F24" s="119">
        <v>500</v>
      </c>
      <c r="G24" s="119" t="s">
        <v>363</v>
      </c>
      <c r="H24" s="130"/>
      <c r="I24" s="130"/>
    </row>
    <row r="25" spans="3:9" ht="19.95" customHeight="1" x14ac:dyDescent="0.3">
      <c r="C25" s="116" t="s">
        <v>369</v>
      </c>
      <c r="D25" s="117">
        <v>1</v>
      </c>
      <c r="E25" s="117">
        <v>1</v>
      </c>
      <c r="F25" s="117" t="s">
        <v>361</v>
      </c>
      <c r="G25" s="117" t="s">
        <v>355</v>
      </c>
      <c r="H25" s="130"/>
      <c r="I25" s="130"/>
    </row>
    <row r="26" spans="3:9" ht="19.95" customHeight="1" x14ac:dyDescent="0.3">
      <c r="C26" s="118" t="s">
        <v>370</v>
      </c>
      <c r="D26" s="119">
        <v>1</v>
      </c>
      <c r="E26" s="119">
        <v>1</v>
      </c>
      <c r="F26" s="119" t="s">
        <v>361</v>
      </c>
      <c r="G26" s="119" t="s">
        <v>355</v>
      </c>
      <c r="H26" s="130"/>
      <c r="I26" s="130"/>
    </row>
    <row r="27" spans="3:9" ht="19.95" customHeight="1" x14ac:dyDescent="0.3">
      <c r="C27" s="116" t="s">
        <v>371</v>
      </c>
      <c r="D27" s="117">
        <v>1</v>
      </c>
      <c r="E27" s="117">
        <v>1</v>
      </c>
      <c r="F27" s="117" t="s">
        <v>361</v>
      </c>
      <c r="G27" s="117" t="s">
        <v>355</v>
      </c>
      <c r="H27" s="130"/>
      <c r="I27" s="130"/>
    </row>
    <row r="28" spans="3:9" ht="19.95" customHeight="1" x14ac:dyDescent="0.3">
      <c r="C28" s="118" t="s">
        <v>372</v>
      </c>
      <c r="D28" s="119">
        <v>50</v>
      </c>
      <c r="E28" s="119" t="s">
        <v>361</v>
      </c>
      <c r="F28" s="119" t="s">
        <v>361</v>
      </c>
      <c r="G28" s="119" t="s">
        <v>363</v>
      </c>
      <c r="H28" s="130"/>
      <c r="I28" s="130"/>
    </row>
    <row r="29" spans="3:9" ht="19.95" customHeight="1" x14ac:dyDescent="0.3">
      <c r="C29" s="116" t="s">
        <v>373</v>
      </c>
      <c r="D29" s="117" t="s">
        <v>361</v>
      </c>
      <c r="E29" s="117">
        <v>25</v>
      </c>
      <c r="F29" s="117" t="s">
        <v>361</v>
      </c>
      <c r="G29" s="117" t="s">
        <v>363</v>
      </c>
      <c r="H29" s="130"/>
      <c r="I29" s="130"/>
    </row>
    <row r="30" spans="3:9" x14ac:dyDescent="0.3">
      <c r="C30" s="72" t="s">
        <v>374</v>
      </c>
      <c r="D30" s="72" t="s">
        <v>361</v>
      </c>
      <c r="E30" s="72" t="s">
        <v>361</v>
      </c>
      <c r="F30" s="72">
        <v>425</v>
      </c>
      <c r="G30" s="72" t="s">
        <v>363</v>
      </c>
      <c r="H30" s="130"/>
      <c r="I30" s="130"/>
    </row>
    <row r="31" spans="3:9" x14ac:dyDescent="0.3">
      <c r="C31" s="72" t="s">
        <v>375</v>
      </c>
      <c r="D31" s="72" t="s">
        <v>361</v>
      </c>
      <c r="E31" s="72" t="s">
        <v>361</v>
      </c>
      <c r="F31" s="72">
        <v>900</v>
      </c>
      <c r="G31" s="72" t="s">
        <v>363</v>
      </c>
      <c r="H31" s="130"/>
      <c r="I31" s="130"/>
    </row>
  </sheetData>
  <mergeCells count="6">
    <mergeCell ref="C2:I2"/>
    <mergeCell ref="C4:I4"/>
    <mergeCell ref="B11:E11"/>
    <mergeCell ref="C13:I13"/>
    <mergeCell ref="H15:H31"/>
    <mergeCell ref="I15:I3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Current_Status</vt:lpstr>
      <vt:lpstr>Pending_Orders</vt:lpstr>
      <vt:lpstr>Size_Machine_Matrix</vt:lpstr>
      <vt:lpstr>Machine_Master</vt:lpstr>
      <vt:lpstr>Pipe Production</vt:lpstr>
      <vt:lpstr>Mixer Production</vt:lpstr>
      <vt:lpstr>Mixing 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Khaled Taha</cp:lastModifiedBy>
  <cp:revision>0</cp:revision>
  <dcterms:modified xsi:type="dcterms:W3CDTF">2026-09-19T08:59:31Z</dcterms:modified>
  <dc:language>en-US</dc:language>
</cp:coreProperties>
</file>