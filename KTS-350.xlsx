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J:\My Drive\down\"/>
    </mc:Choice>
  </mc:AlternateContent>
  <xr:revisionPtr revIDLastSave="0" documentId="13_ncr:1_{F9558572-B1F2-429A-BE5E-AC84486ABE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8" sheetId="2" r:id="rId1"/>
  </sheets>
  <definedNames>
    <definedName name="_xlnm.Print_Area" localSheetId="0">'28'!$A$1:$I$39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H12" i="2" l="1"/>
  <c r="I20" i="2" s="1"/>
  <c r="G14" i="2"/>
  <c r="H23" i="2"/>
  <c r="G25" i="2"/>
  <c r="H31" i="2" s="1"/>
  <c r="I35" i="2"/>
  <c r="G35" i="2" l="1"/>
  <c r="H36" i="2" s="1"/>
  <c r="I16" i="2"/>
  <c r="H35" i="2"/>
  <c r="G36" i="2"/>
  <c r="I36" i="2"/>
  <c r="G31" i="2"/>
  <c r="H20" i="2"/>
  <c r="G20" i="2"/>
  <c r="I31" i="2"/>
  <c r="H21" i="2" l="1"/>
  <c r="H37" i="2"/>
  <c r="H32" i="2"/>
</calcChain>
</file>

<file path=xl/sharedStrings.xml><?xml version="1.0" encoding="utf-8"?>
<sst xmlns="http://schemas.openxmlformats.org/spreadsheetml/2006/main" count="98" uniqueCount="61">
  <si>
    <t>Night Shift Supervisor</t>
  </si>
  <si>
    <t>Day Shift Supervisor</t>
  </si>
  <si>
    <t>Qualty</t>
  </si>
  <si>
    <t>Avail.</t>
  </si>
  <si>
    <t>Perf.</t>
  </si>
  <si>
    <t>08</t>
  </si>
  <si>
    <t>OEE</t>
  </si>
  <si>
    <t>07</t>
  </si>
  <si>
    <t>06</t>
  </si>
  <si>
    <t>Scrap(mtr)</t>
  </si>
  <si>
    <t>05</t>
  </si>
  <si>
    <t>Ref 2:</t>
  </si>
  <si>
    <t>04</t>
  </si>
  <si>
    <t>Ref 1:</t>
  </si>
  <si>
    <t>03</t>
  </si>
  <si>
    <t>02</t>
  </si>
  <si>
    <t>Total Rejection</t>
  </si>
  <si>
    <t>01</t>
  </si>
  <si>
    <t>00</t>
  </si>
  <si>
    <t>23</t>
  </si>
  <si>
    <t>22</t>
  </si>
  <si>
    <t>Total Good Production</t>
  </si>
  <si>
    <t>21</t>
  </si>
  <si>
    <t>20</t>
  </si>
  <si>
    <t>19</t>
  </si>
  <si>
    <t>Quality</t>
  </si>
  <si>
    <t>Perfor.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</si>
  <si>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</si>
  <si>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</si>
  <si>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</si>
  <si>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</si>
  <si>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</si>
  <si>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</si>
  <si>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</si>
  <si>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</si>
  <si>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</si>
  <si>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09</t>
  </si>
  <si>
    <t>General Data of Production</t>
  </si>
  <si>
    <t>Reject Production (KG)</t>
  </si>
  <si>
    <t>Down Time (Min)</t>
  </si>
  <si>
    <t>Cause</t>
  </si>
  <si>
    <t>Good Production (PC)</t>
  </si>
  <si>
    <t>Standard Production (PC)</t>
  </si>
  <si>
    <t>Hour</t>
  </si>
  <si>
    <t>M/Min</t>
  </si>
  <si>
    <t>28.09.2026</t>
  </si>
  <si>
    <t>DATE</t>
  </si>
  <si>
    <t>2nd reference</t>
  </si>
  <si>
    <t>1st reference</t>
  </si>
  <si>
    <t>PRODUCTION PIECES</t>
  </si>
  <si>
    <t>Line No.</t>
  </si>
  <si>
    <t>13 1 2026</t>
  </si>
  <si>
    <t xml:space="preserve">Date </t>
  </si>
  <si>
    <t>Prouduction follow</t>
  </si>
  <si>
    <t xml:space="preserve">AL Manar </t>
  </si>
  <si>
    <t xml:space="preserve">Date of creation </t>
  </si>
  <si>
    <t>N° VERSION</t>
  </si>
  <si>
    <t>DOCUMENT IN POST</t>
  </si>
  <si>
    <t>DOC-Ext.-03</t>
  </si>
  <si>
    <t>Kabra 90</t>
  </si>
  <si>
    <t>No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</si>
</sst>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"/>
    <numFmt numFmtId="166" formatCode="#,##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charset val="178"/>
      <scheme val="minor"/>
    </font>
    <font>
      <sz val="10"/>
      <name val="Times New Roman"/>
      <charset val="134"/>
    </font>
    <font>
      <sz val="10"/>
      <color indexed="9"/>
      <name val="Times New Roman"/>
      <charset val="134"/>
    </font>
    <font>
      <b/>
      <sz val="10"/>
      <name val="Times New Roman"/>
      <charset val="134"/>
    </font>
    <font>
      <i/>
      <sz val="10"/>
      <name val="Times New Roman"/>
      <charset val="134"/>
    </font>
    <font>
      <i/>
      <sz val="10"/>
      <color indexed="10"/>
      <name val="Times New Roman"/>
      <charset val="134"/>
    </font>
    <font>
      <i/>
      <sz val="10"/>
      <color indexed="12"/>
      <name val="Times New Roman"/>
      <charset val="134"/>
    </font>
    <font>
      <i/>
      <sz val="10"/>
      <color indexed="24"/>
      <name val="Times New Roman"/>
      <charset val="134"/>
    </font>
    <font>
      <i/>
      <sz val="10"/>
      <color indexed="31"/>
      <name val="Times New Roman"/>
      <charset val="134"/>
    </font>
    <font>
      <i/>
      <sz val="10"/>
      <color indexed="48"/>
      <name val="Times New Roman"/>
      <charset val="134"/>
    </font>
    <font>
      <sz val="10"/>
      <color indexed="12"/>
      <name val="Times New Roman"/>
      <charset val="134"/>
    </font>
    <font>
      <sz val="14"/>
      <name val="Times New Roman"/>
      <charset val="134"/>
    </font>
    <font>
      <sz val="8"/>
      <name val="Times New Roman"/>
      <charset val="134"/>
    </font>
    <font>
      <sz val="10"/>
      <name val="Comic Sans MS"/>
      <charset val="134"/>
    </font>
    <font>
      <sz val="10"/>
      <color indexed="8"/>
      <name val="Times New Roman"/>
      <charset val="134"/>
    </font>
    <font>
      <b/>
      <sz val="12"/>
      <name val="Times New Roman"/>
      <charset val="134"/>
    </font>
    <font>
      <sz val="10"/>
      <color indexed="10"/>
      <name val="Times New Roman"/>
      <charset val="134"/>
    </font>
    <font>
      <sz val="11"/>
      <name val="Times New Roman"/>
      <charset val="134"/>
    </font>
    <font>
      <i/>
      <sz val="8"/>
      <name val="Times New Roman"/>
      <charset val="134"/>
    </font>
    <font>
      <i/>
      <sz val="18"/>
      <name val="Times New Roman"/>
      <charset val="134"/>
    </font>
    <font>
      <i/>
      <sz val="16"/>
      <name val="Times New Roman"/>
      <charset val="134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22" fillId="0" borderId="0"/>
  </cellStyleXfs>
  <cellXfs count="107">
    <xf numFmtId="0" fontId="0" fillId="0" borderId="0" xfId="0"/>
    <xf numFmtId="3" fontId="2" fillId="0" borderId="0" xfId="2" applyNumberFormat="1" applyAlignment="1">
      <alignment horizontal="center" vertical="center"/>
    </xf>
    <xf numFmtId="3" fontId="5" fillId="0" borderId="0" xfId="2" applyNumberFormat="1" applyFont="1" applyAlignment="1">
      <alignment horizontal="center" vertical="center" wrapText="1"/>
    </xf>
    <xf numFmtId="3" fontId="2" fillId="0" borderId="1" xfId="2" applyNumberFormat="1" applyBorder="1" applyAlignment="1">
      <alignment horizontal="center" vertical="center"/>
    </xf>
    <xf numFmtId="3" fontId="2" fillId="0" borderId="4" xfId="2" applyNumberFormat="1" applyBorder="1" applyAlignment="1">
      <alignment horizontal="center" vertical="center"/>
    </xf>
    <xf numFmtId="3" fontId="5" fillId="0" borderId="4" xfId="2" applyNumberFormat="1" applyFont="1" applyBorder="1" applyAlignment="1">
      <alignment horizontal="center" vertical="center" wrapText="1"/>
    </xf>
    <xf numFmtId="3" fontId="2" fillId="0" borderId="5" xfId="2" applyNumberFormat="1" applyBorder="1" applyAlignment="1">
      <alignment horizontal="center" vertical="center"/>
    </xf>
    <xf numFmtId="3" fontId="2" fillId="0" borderId="6" xfId="2" applyNumberFormat="1" applyBorder="1" applyAlignment="1">
      <alignment horizontal="center" vertical="center"/>
    </xf>
    <xf numFmtId="3" fontId="2" fillId="0" borderId="7" xfId="2" applyNumberFormat="1" applyBorder="1" applyAlignment="1">
      <alignment horizontal="center" vertical="center"/>
    </xf>
    <xf numFmtId="3" fontId="2" fillId="0" borderId="10" xfId="2" applyNumberFormat="1" applyBorder="1" applyAlignment="1">
      <alignment horizontal="center" vertical="center"/>
    </xf>
    <xf numFmtId="3" fontId="2" fillId="0" borderId="11" xfId="2" applyNumberFormat="1" applyBorder="1" applyAlignment="1">
      <alignment horizontal="center" vertical="center"/>
    </xf>
    <xf numFmtId="9" fontId="5" fillId="0" borderId="12" xfId="3" applyFont="1" applyBorder="1" applyAlignment="1">
      <alignment horizontal="center" vertical="center"/>
    </xf>
    <xf numFmtId="9" fontId="5" fillId="0" borderId="0" xfId="3" applyFont="1" applyAlignment="1">
      <alignment horizontal="center" vertical="center"/>
    </xf>
    <xf numFmtId="9" fontId="5" fillId="0" borderId="13" xfId="3" applyFont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3" fontId="5" fillId="0" borderId="12" xfId="2" applyNumberFormat="1" applyFont="1" applyBorder="1" applyAlignment="1">
      <alignment vertical="center"/>
    </xf>
    <xf numFmtId="3" fontId="5" fillId="0" borderId="0" xfId="2" applyNumberFormat="1" applyFont="1" applyAlignment="1">
      <alignment vertical="center"/>
    </xf>
    <xf numFmtId="3" fontId="7" fillId="0" borderId="0" xfId="2" applyNumberFormat="1" applyFont="1" applyAlignment="1">
      <alignment horizontal="center" vertical="center"/>
    </xf>
    <xf numFmtId="3" fontId="2" fillId="0" borderId="13" xfId="2" applyNumberFormat="1" applyBorder="1" applyAlignment="1">
      <alignment horizontal="center" vertical="center"/>
    </xf>
    <xf numFmtId="3" fontId="2" fillId="0" borderId="12" xfId="2" applyNumberFormat="1" applyBorder="1" applyAlignment="1">
      <alignment horizontal="center" vertical="center" wrapText="1"/>
    </xf>
    <xf numFmtId="3" fontId="2" fillId="0" borderId="0" xfId="2" applyNumberFormat="1" applyAlignment="1">
      <alignment horizontal="center" vertical="center" wrapText="1"/>
    </xf>
    <xf numFmtId="3" fontId="8" fillId="0" borderId="15" xfId="2" applyNumberFormat="1" applyFont="1" applyBorder="1" applyAlignment="1">
      <alignment horizontal="center" vertical="center"/>
    </xf>
    <xf numFmtId="3" fontId="5" fillId="0" borderId="12" xfId="2" applyNumberFormat="1" applyFont="1" applyBorder="1" applyAlignment="1">
      <alignment horizontal="center" vertical="center"/>
    </xf>
    <xf numFmtId="3" fontId="5" fillId="0" borderId="0" xfId="2" applyNumberFormat="1" applyFont="1" applyAlignment="1">
      <alignment horizontal="center" vertical="center"/>
    </xf>
    <xf numFmtId="165" fontId="5" fillId="0" borderId="13" xfId="2" applyNumberFormat="1" applyFont="1" applyBorder="1" applyAlignment="1">
      <alignment horizontal="center" vertical="center"/>
    </xf>
    <xf numFmtId="3" fontId="6" fillId="0" borderId="12" xfId="2" applyNumberFormat="1" applyFont="1" applyBorder="1" applyAlignment="1">
      <alignment horizontal="center" vertical="center"/>
    </xf>
    <xf numFmtId="3" fontId="2" fillId="0" borderId="16" xfId="2" applyNumberFormat="1" applyBorder="1" applyAlignment="1">
      <alignment horizontal="center" vertical="center"/>
    </xf>
    <xf numFmtId="3" fontId="6" fillId="0" borderId="7" xfId="2" applyNumberFormat="1" applyFont="1" applyBorder="1" applyAlignment="1">
      <alignment horizontal="center" vertical="center"/>
    </xf>
    <xf numFmtId="3" fontId="2" fillId="0" borderId="17" xfId="2" applyNumberFormat="1" applyBorder="1" applyAlignment="1">
      <alignment horizontal="center" vertical="center"/>
    </xf>
    <xf numFmtId="3" fontId="8" fillId="0" borderId="21" xfId="2" applyNumberFormat="1" applyFont="1" applyBorder="1" applyAlignment="1">
      <alignment horizontal="center" vertical="center"/>
    </xf>
    <xf numFmtId="3" fontId="5" fillId="0" borderId="22" xfId="2" applyNumberFormat="1" applyFont="1" applyBorder="1" applyAlignment="1">
      <alignment horizontal="center" vertical="center"/>
    </xf>
    <xf numFmtId="3" fontId="9" fillId="0" borderId="23" xfId="2" applyNumberFormat="1" applyFont="1" applyBorder="1" applyAlignment="1">
      <alignment horizontal="center" vertical="center"/>
    </xf>
    <xf numFmtId="3" fontId="2" fillId="0" borderId="24" xfId="2" applyNumberFormat="1" applyBorder="1" applyAlignment="1">
      <alignment horizontal="center" vertical="center"/>
    </xf>
    <xf numFmtId="164" fontId="5" fillId="0" borderId="12" xfId="3" applyNumberFormat="1" applyFont="1" applyFill="1" applyBorder="1" applyAlignment="1">
      <alignment horizontal="center" vertical="center"/>
    </xf>
    <xf numFmtId="164" fontId="5" fillId="0" borderId="0" xfId="3" applyNumberFormat="1" applyFont="1" applyFill="1" applyAlignment="1">
      <alignment horizontal="center" vertical="center"/>
    </xf>
    <xf numFmtId="164" fontId="5" fillId="4" borderId="13" xfId="3" applyNumberFormat="1" applyFont="1" applyFill="1" applyBorder="1" applyAlignment="1">
      <alignment horizontal="center" vertical="center"/>
    </xf>
    <xf numFmtId="3" fontId="10" fillId="0" borderId="15" xfId="2" applyNumberFormat="1" applyFont="1" applyBorder="1" applyAlignment="1">
      <alignment horizontal="center" vertical="center"/>
    </xf>
    <xf numFmtId="3" fontId="10" fillId="0" borderId="7" xfId="2" applyNumberFormat="1" applyFont="1" applyBorder="1" applyAlignment="1">
      <alignment horizontal="center" vertical="center"/>
    </xf>
    <xf numFmtId="3" fontId="11" fillId="0" borderId="12" xfId="2" applyNumberFormat="1" applyFont="1" applyBorder="1" applyAlignment="1">
      <alignment horizontal="center" vertical="center"/>
    </xf>
    <xf numFmtId="4" fontId="5" fillId="0" borderId="13" xfId="2" applyNumberFormat="1" applyFont="1" applyBorder="1" applyAlignment="1">
      <alignment horizontal="center" vertical="center"/>
    </xf>
    <xf numFmtId="3" fontId="7" fillId="0" borderId="15" xfId="2" applyNumberFormat="1" applyFont="1" applyBorder="1" applyAlignment="1">
      <alignment horizontal="center" vertical="center"/>
    </xf>
    <xf numFmtId="164" fontId="11" fillId="0" borderId="12" xfId="3" applyNumberFormat="1" applyFont="1" applyBorder="1" applyAlignment="1">
      <alignment horizontal="center" vertical="center"/>
    </xf>
    <xf numFmtId="3" fontId="11" fillId="0" borderId="0" xfId="2" applyNumberFormat="1" applyFont="1" applyAlignment="1">
      <alignment horizontal="center" vertical="center"/>
    </xf>
    <xf numFmtId="3" fontId="2" fillId="0" borderId="28" xfId="2" applyNumberFormat="1" applyBorder="1" applyAlignment="1">
      <alignment vertical="center" wrapText="1"/>
    </xf>
    <xf numFmtId="3" fontId="2" fillId="0" borderId="28" xfId="2" applyNumberFormat="1" applyBorder="1" applyAlignment="1">
      <alignment horizontal="center" vertical="center" wrapText="1"/>
    </xf>
    <xf numFmtId="3" fontId="2" fillId="0" borderId="29" xfId="2" applyNumberFormat="1" applyBorder="1" applyAlignment="1">
      <alignment horizontal="center" vertical="center" wrapText="1"/>
    </xf>
    <xf numFmtId="3" fontId="2" fillId="0" borderId="30" xfId="2" applyNumberFormat="1" applyBorder="1" applyAlignment="1">
      <alignment horizontal="center" vertical="center" wrapText="1"/>
    </xf>
    <xf numFmtId="3" fontId="13" fillId="0" borderId="0" xfId="2" applyNumberFormat="1" applyFont="1" applyAlignment="1">
      <alignment horizontal="center" vertical="center"/>
    </xf>
    <xf numFmtId="166" fontId="14" fillId="0" borderId="31" xfId="2" applyNumberFormat="1" applyFont="1" applyBorder="1" applyAlignment="1">
      <alignment horizontal="center" vertical="center"/>
    </xf>
    <xf numFmtId="3" fontId="15" fillId="0" borderId="32" xfId="2" applyNumberFormat="1" applyFont="1" applyBorder="1" applyAlignment="1">
      <alignment horizontal="center" vertical="center" wrapText="1"/>
    </xf>
    <xf numFmtId="3" fontId="16" fillId="0" borderId="9" xfId="2" applyNumberFormat="1" applyFont="1" applyBorder="1" applyAlignment="1">
      <alignment vertical="center"/>
    </xf>
    <xf numFmtId="3" fontId="2" fillId="0" borderId="8" xfId="2" applyNumberFormat="1" applyBorder="1" applyAlignment="1">
      <alignment horizontal="center" vertical="center"/>
    </xf>
    <xf numFmtId="3" fontId="12" fillId="0" borderId="27" xfId="2" applyNumberFormat="1" applyFont="1" applyBorder="1" applyAlignment="1">
      <alignment horizontal="center" vertical="center" wrapText="1"/>
    </xf>
    <xf numFmtId="3" fontId="12" fillId="0" borderId="26" xfId="2" applyNumberFormat="1" applyFont="1" applyBorder="1" applyAlignment="1">
      <alignment horizontal="center" vertical="center" wrapText="1"/>
    </xf>
    <xf numFmtId="3" fontId="12" fillId="0" borderId="25" xfId="2" applyNumberFormat="1" applyFont="1" applyBorder="1" applyAlignment="1">
      <alignment horizontal="center" vertical="center" wrapText="1"/>
    </xf>
    <xf numFmtId="3" fontId="2" fillId="0" borderId="20" xfId="2" applyNumberFormat="1" applyBorder="1" applyAlignment="1">
      <alignment horizontal="center" vertical="center" wrapText="1"/>
    </xf>
    <xf numFmtId="3" fontId="2" fillId="0" borderId="19" xfId="2" applyNumberFormat="1" applyBorder="1" applyAlignment="1">
      <alignment horizontal="center" vertical="center" wrapText="1"/>
    </xf>
    <xf numFmtId="3" fontId="2" fillId="0" borderId="18" xfId="2" applyNumberFormat="1" applyBorder="1" applyAlignment="1">
      <alignment horizontal="center" vertical="center" wrapText="1"/>
    </xf>
    <xf numFmtId="3" fontId="2" fillId="0" borderId="13" xfId="2" applyNumberFormat="1" applyBorder="1" applyAlignment="1">
      <alignment horizontal="center" vertical="center" wrapText="1"/>
    </xf>
    <xf numFmtId="3" fontId="2" fillId="0" borderId="0" xfId="2" applyNumberFormat="1" applyAlignment="1">
      <alignment horizontal="center" vertical="center" wrapText="1"/>
    </xf>
    <xf numFmtId="3" fontId="2" fillId="0" borderId="12" xfId="2" applyNumberFormat="1" applyBorder="1" applyAlignment="1">
      <alignment horizontal="center" vertical="center" wrapText="1"/>
    </xf>
    <xf numFmtId="3" fontId="21" fillId="0" borderId="13" xfId="2" applyNumberFormat="1" applyFont="1" applyBorder="1" applyAlignment="1">
      <alignment horizontal="center" vertical="center"/>
    </xf>
    <xf numFmtId="3" fontId="21" fillId="0" borderId="0" xfId="2" applyNumberFormat="1" applyFont="1" applyAlignment="1">
      <alignment horizontal="center" vertical="center"/>
    </xf>
    <xf numFmtId="3" fontId="21" fillId="0" borderId="12" xfId="2" applyNumberFormat="1" applyFont="1" applyBorder="1" applyAlignment="1">
      <alignment horizontal="center" vertical="center"/>
    </xf>
    <xf numFmtId="3" fontId="20" fillId="0" borderId="27" xfId="2" applyNumberFormat="1" applyFont="1" applyBorder="1" applyAlignment="1">
      <alignment horizontal="center" vertical="center"/>
    </xf>
    <xf numFmtId="3" fontId="20" fillId="0" borderId="41" xfId="2" applyNumberFormat="1" applyFont="1" applyBorder="1" applyAlignment="1">
      <alignment horizontal="center" vertical="center"/>
    </xf>
    <xf numFmtId="3" fontId="20" fillId="0" borderId="40" xfId="2" applyNumberFormat="1" applyFont="1" applyBorder="1" applyAlignment="1">
      <alignment horizontal="center" vertical="center"/>
    </xf>
    <xf numFmtId="3" fontId="13" fillId="0" borderId="44" xfId="2" applyNumberFormat="1" applyFont="1" applyBorder="1" applyAlignment="1">
      <alignment horizontal="left" vertical="center"/>
    </xf>
    <xf numFmtId="3" fontId="13" fillId="0" borderId="38" xfId="2" applyNumberFormat="1" applyFont="1" applyBorder="1" applyAlignment="1">
      <alignment horizontal="center" vertical="center"/>
    </xf>
    <xf numFmtId="3" fontId="13" fillId="0" borderId="43" xfId="2" applyNumberFormat="1" applyFont="1" applyBorder="1" applyAlignment="1">
      <alignment horizontal="center" vertical="center"/>
    </xf>
    <xf numFmtId="3" fontId="13" fillId="0" borderId="44" xfId="2" applyNumberFormat="1" applyFont="1" applyBorder="1" applyAlignment="1">
      <alignment horizontal="center" vertical="center"/>
    </xf>
    <xf numFmtId="3" fontId="13" fillId="0" borderId="19" xfId="2" applyNumberFormat="1" applyFont="1" applyBorder="1" applyAlignment="1">
      <alignment horizontal="center" vertical="center"/>
    </xf>
    <xf numFmtId="3" fontId="13" fillId="0" borderId="42" xfId="2" applyNumberFormat="1" applyFont="1" applyBorder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3" fontId="13" fillId="0" borderId="13" xfId="2" applyNumberFormat="1" applyFont="1" applyBorder="1" applyAlignment="1">
      <alignment horizontal="center" vertical="center"/>
    </xf>
    <xf numFmtId="3" fontId="13" fillId="0" borderId="12" xfId="2" applyNumberFormat="1" applyFont="1" applyBorder="1" applyAlignment="1">
      <alignment horizontal="center" vertical="center"/>
    </xf>
    <xf numFmtId="3" fontId="13" fillId="0" borderId="20" xfId="2" applyNumberFormat="1" applyFont="1" applyBorder="1" applyAlignment="1">
      <alignment horizontal="center" vertical="center"/>
    </xf>
    <xf numFmtId="14" fontId="13" fillId="0" borderId="18" xfId="2" applyNumberFormat="1" applyFont="1" applyBorder="1" applyAlignment="1">
      <alignment horizontal="center" vertical="center"/>
    </xf>
    <xf numFmtId="3" fontId="13" fillId="0" borderId="27" xfId="2" applyNumberFormat="1" applyFont="1" applyBorder="1" applyAlignment="1">
      <alignment horizontal="center" vertical="center"/>
    </xf>
    <xf numFmtId="14" fontId="19" fillId="0" borderId="40" xfId="2" applyNumberFormat="1" applyFont="1" applyBorder="1" applyAlignment="1">
      <alignment horizontal="center" vertical="center"/>
    </xf>
    <xf numFmtId="3" fontId="2" fillId="0" borderId="39" xfId="2" applyNumberFormat="1" applyBorder="1" applyAlignment="1">
      <alignment horizontal="center" vertical="center"/>
    </xf>
    <xf numFmtId="3" fontId="2" fillId="0" borderId="38" xfId="2" applyNumberFormat="1" applyBorder="1" applyAlignment="1">
      <alignment horizontal="center" vertical="center"/>
    </xf>
    <xf numFmtId="3" fontId="2" fillId="0" borderId="37" xfId="2" applyNumberFormat="1" applyBorder="1" applyAlignment="1">
      <alignment horizontal="center" vertical="center"/>
    </xf>
    <xf numFmtId="3" fontId="18" fillId="0" borderId="36" xfId="2" applyNumberFormat="1" applyFont="1" applyBorder="1" applyAlignment="1">
      <alignment horizontal="center" vertical="center"/>
    </xf>
    <xf numFmtId="3" fontId="2" fillId="0" borderId="18" xfId="2" applyNumberFormat="1" applyBorder="1" applyAlignment="1">
      <alignment horizontal="center" vertical="center"/>
    </xf>
    <xf numFmtId="3" fontId="2" fillId="0" borderId="9" xfId="2" applyNumberFormat="1" applyBorder="1" applyAlignment="1">
      <alignment horizontal="center" vertical="center"/>
    </xf>
    <xf numFmtId="3" fontId="2" fillId="0" borderId="34" xfId="2" applyNumberFormat="1" applyBorder="1" applyAlignment="1">
      <alignment horizontal="center" vertical="center"/>
    </xf>
    <xf numFmtId="3" fontId="2" fillId="0" borderId="33" xfId="2" applyNumberFormat="1" applyBorder="1" applyAlignment="1">
      <alignment horizontal="center" vertical="center"/>
    </xf>
    <xf numFmtId="3" fontId="18" fillId="0" borderId="14" xfId="2" applyNumberFormat="1" applyFont="1" applyBorder="1" applyAlignment="1">
      <alignment horizontal="center" vertical="center"/>
    </xf>
    <xf numFmtId="3" fontId="17" fillId="0" borderId="35" xfId="2" applyNumberFormat="1" applyFont="1" applyBorder="1" applyAlignment="1">
      <alignment horizontal="center" vertical="center"/>
    </xf>
    <xf numFmtId="3" fontId="2" fillId="0" borderId="34" xfId="2" applyNumberFormat="1" applyBorder="1" applyAlignment="1">
      <alignment horizontal="center" vertical="center"/>
    </xf>
    <xf numFmtId="3" fontId="13" fillId="0" borderId="33" xfId="2" applyNumberFormat="1" applyFont="1" applyBorder="1" applyAlignment="1">
      <alignment horizontal="center" vertical="center"/>
    </xf>
    <xf numFmtId="3" fontId="5" fillId="0" borderId="9" xfId="2" applyNumberFormat="1" applyFont="1" applyBorder="1" applyAlignment="1">
      <alignment vertical="center"/>
    </xf>
    <xf numFmtId="3" fontId="5" fillId="0" borderId="34" xfId="2" applyNumberFormat="1" applyFont="1" applyBorder="1" applyAlignment="1">
      <alignment vertical="center"/>
    </xf>
    <xf numFmtId="3" fontId="5" fillId="0" borderId="33" xfId="2" applyNumberFormat="1" applyFont="1" applyBorder="1" applyAlignment="1">
      <alignment vertical="center"/>
    </xf>
    <xf numFmtId="3" fontId="2" fillId="0" borderId="12" xfId="2" applyNumberFormat="1" applyBorder="1" applyAlignment="1">
      <alignment horizontal="center" vertical="center"/>
    </xf>
    <xf numFmtId="3" fontId="2" fillId="0" borderId="0" xfId="2" applyNumberFormat="1" applyAlignment="1">
      <alignment vertical="center"/>
    </xf>
    <xf numFmtId="3" fontId="2" fillId="0" borderId="12" xfId="2" applyNumberFormat="1" applyBorder="1" applyAlignment="1">
      <alignment vertical="center" wrapText="1"/>
    </xf>
    <xf numFmtId="3" fontId="2" fillId="0" borderId="12" xfId="2" applyNumberFormat="1" applyBorder="1" applyAlignment="1">
      <alignment vertical="center"/>
    </xf>
    <xf numFmtId="164" fontId="0" fillId="0" borderId="0" xfId="3" applyNumberFormat="1" applyFont="1" applyAlignment="1">
      <alignment horizontal="center" vertical="center"/>
    </xf>
    <xf numFmtId="9" fontId="0" fillId="0" borderId="0" xfId="3" applyFont="1" applyAlignment="1">
      <alignment horizontal="center" vertical="center"/>
    </xf>
    <xf numFmtId="3" fontId="2" fillId="0" borderId="3" xfId="2" applyNumberFormat="1" applyBorder="1" applyAlignment="1">
      <alignment horizontal="center" vertical="center"/>
    </xf>
    <xf numFmtId="3" fontId="2" fillId="0" borderId="2" xfId="2" applyNumberFormat="1" applyBorder="1" applyAlignment="1">
      <alignment horizontal="center" vertical="center"/>
    </xf>
    <xf numFmtId="4" fontId="2" fillId="0" borderId="0" xfId="2" applyNumberFormat="1" applyAlignment="1">
      <alignment horizontal="center" vertical="center"/>
    </xf>
    <xf numFmtId="164" fontId="4" fillId="2" borderId="0" xfId="3" applyNumberFormat="1" applyFont="1" applyFill="1" applyBorder="1" applyAlignment="1">
      <alignment horizontal="center" vertical="center"/>
    </xf>
    <xf numFmtId="164" fontId="4" fillId="3" borderId="0" xfId="3" applyNumberFormat="1" applyFont="1" applyFill="1" applyBorder="1" applyAlignment="1">
      <alignment horizontal="center" vertical="center"/>
    </xf>
    <xf numFmtId="3" fontId="3" fillId="0" borderId="0" xfId="2" applyNumberFormat="1" applyFont="1" applyAlignment="1">
      <alignment horizontal="center" vertical="center"/>
    </xf>
  </cellXfs>
  <cellStyles count="5">
    <cellStyle name="Normal" xfId="0" builtinId="0"/>
    <cellStyle name="Normal 2" xfId="1" xr:uid="{6436A3A6-05E4-453D-B1B0-F83055D15169}"/>
    <cellStyle name="Normal 2 2" xfId="2" xr:uid="{ABA85607-4CFF-4430-A200-10FC0A965328}"/>
    <cellStyle name="Normal 4" xfId="4" xr:uid="{EB70CD30-1509-4C1D-90EC-763886901DAA}"/>
    <cellStyle name="Percent 2" xfId="3" xr:uid="{80FC2BF3-1FC6-4FC4-A4A9-5BA73004EA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3E81-B247-4243-9B27-859D3A9FA7EA}">
  <dimension ref="A1:I39"/>
  <sheetViews>
    <sheetView tabSelected="1" view="pageBreakPreview" topLeftCell="A9" zoomScaleNormal="100" workbookViewId="0">
      <selection activeCell="G20" sqref="G20"/>
    </sheetView>
  </sheetViews>
  <sheetFormatPr defaultColWidth="9.109375" defaultRowHeight="14.4"/>
  <cols>
    <col min="1" max="1" width="5.88671875" style="73" customWidth="1"/>
    <col min="2" max="2" width="13.109375" style="73" customWidth="1"/>
    <col min="3" max="3" width="12.109375" style="73" customWidth="1"/>
    <col min="4" max="4" width="15.88671875" style="73" customWidth="1"/>
    <col min="5" max="5" width="13.5546875" style="73" customWidth="1"/>
    <col min="6" max="6" width="12.5546875" style="73" customWidth="1"/>
    <col min="7" max="7" width="9.109375" style="73"/>
    <col min="8" max="8" width="15.33203125" style="73" customWidth="1"/>
    <col min="9" max="9" width="14.5546875" style="73" customWidth="1"/>
    <col min="10" max="10" width="15.5546875" style="73" customWidth="1"/>
    <col min="11" max="16384" width="9.109375" style="73"/>
  </cols>
  <sheetData>
    <row r="1" spans="1:9" ht="27.6" customHeight="1" thickBot="1">
      <c r="A1" s="67" t="s">
        <v>58</v>
      </c>
      <c r="B1" s="68"/>
      <c r="C1" s="69"/>
      <c r="D1" s="70" t="s">
        <v>57</v>
      </c>
      <c r="E1" s="68"/>
      <c r="F1" s="68"/>
      <c r="G1" s="69"/>
      <c r="H1" s="71" t="s">
        <v>56</v>
      </c>
      <c r="I1" s="72">
        <v>3</v>
      </c>
    </row>
    <row r="2" spans="1:9">
      <c r="A2" s="74"/>
      <c r="B2" s="47"/>
      <c r="C2" s="75"/>
      <c r="D2" s="74"/>
      <c r="E2" s="47"/>
      <c r="F2" s="47"/>
      <c r="G2" s="75"/>
      <c r="H2" s="76" t="s">
        <v>55</v>
      </c>
      <c r="I2" s="77">
        <v>43118</v>
      </c>
    </row>
    <row r="3" spans="1:9" ht="21" customHeight="1" thickBot="1">
      <c r="A3" s="61" t="s">
        <v>54</v>
      </c>
      <c r="B3" s="62"/>
      <c r="C3" s="63"/>
      <c r="D3" s="64" t="s">
        <v>53</v>
      </c>
      <c r="E3" s="65"/>
      <c r="F3" s="65"/>
      <c r="G3" s="66"/>
      <c r="H3" s="78" t="s">
        <v>52</v>
      </c>
      <c r="I3" s="79" t="s">
        <v>51</v>
      </c>
    </row>
    <row r="4" spans="1:9" ht="23.25" customHeight="1">
      <c r="A4" s="18"/>
      <c r="B4" s="1" t="s">
        <v>50</v>
      </c>
      <c r="C4" s="1" t="str">
        <v>KTS-350</v>
      </c>
      <c r="D4" s="80" t="s">
        <v>49</v>
      </c>
      <c r="E4" s="81"/>
      <c r="F4" s="81"/>
      <c r="G4" s="82"/>
      <c r="H4" s="83"/>
      <c r="I4" s="84"/>
    </row>
    <row r="5" spans="1:9" ht="22.5" customHeight="1">
      <c r="A5" s="18"/>
      <c r="C5" s="73" t="s">
        <v>48</v>
      </c>
      <c r="D5" s="85" t="str">
        <v>[262 R] - PVC PIPE 110X8.1MM PN20 MANARCO G RR 6MTR</v>
      </c>
      <c r="E5" s="86"/>
      <c r="F5" s="86"/>
      <c r="G5" s="87"/>
      <c r="H5" s="88"/>
      <c r="I5" s="8"/>
    </row>
    <row r="6" spans="1:9" ht="22.5" customHeight="1">
      <c r="A6" s="18"/>
      <c r="C6" s="73" t="s">
        <v>47</v>
      </c>
      <c r="D6" s="85"/>
      <c r="E6" s="86"/>
      <c r="F6" s="86"/>
      <c r="G6" s="87"/>
      <c r="H6" s="88"/>
      <c r="I6" s="9"/>
    </row>
    <row r="7" spans="1:9" ht="15.6">
      <c r="A7" s="89"/>
      <c r="B7" s="90"/>
      <c r="C7" s="91"/>
      <c r="D7" s="92" t="s">
        <v>48</v>
      </c>
      <c r="E7" s="93"/>
      <c r="F7" s="93" t="s">
        <v>47</v>
      </c>
      <c r="G7" s="94"/>
      <c r="H7" s="51" t="s">
        <v>46</v>
      </c>
      <c r="I7" s="50" t="str">
        <v>28.09.2026</v>
      </c>
    </row>
    <row r="8" spans="1:9" ht="16.8" thickBot="1">
      <c r="A8" s="18"/>
      <c r="B8" s="1"/>
      <c r="C8" s="47"/>
      <c r="D8" s="49" t="str">
        <v>PC/Hour</v>
      </c>
      <c r="E8" s="48" t="n">
        <v>11</v>
      </c>
      <c r="F8" s="49" t="str">
        <v>Kg/PC</v>
      </c>
      <c r="G8" s="48" t="n">
        <v>26</v>
      </c>
      <c r="H8" s="1"/>
      <c r="I8" s="47"/>
    </row>
    <row r="9" spans="1:9" ht="51" customHeight="1" thickBot="1">
      <c r="A9" s="46" t="s">
        <v>43</v>
      </c>
      <c r="B9" s="45" t="s">
        <v>42</v>
      </c>
      <c r="C9" s="45" t="s">
        <v>41</v>
      </c>
      <c r="D9" s="44" t="s">
        <v>40</v>
      </c>
      <c r="E9" s="44" t="s">
        <v>39</v>
      </c>
      <c r="F9" s="43" t="s">
        <v>38</v>
      </c>
      <c r="G9" s="52" t="s">
        <v>37</v>
      </c>
      <c r="H9" s="53"/>
      <c r="I9" s="54"/>
    </row>
    <row r="10" spans="1:9" ht="24.75" customHeight="1">
      <c r="A10" s="28" t="s">
        <v>36</v>
      </c>
      <c r="B10" s="6" t="n">
        <v>11</v>
      </c>
      <c r="C10" s="9" t="n">
        <v>10</v>
      </c>
      <c r="D10" s="30"/>
      <c r="E10" s="30"/>
      <c r="F10" s="37"/>
      <c r="G10" s="55" t="s">
        <v>21</v>
      </c>
      <c r="H10" s="56"/>
      <c r="I10" s="57"/>
    </row>
    <row r="11" spans="1:9" ht="24.75" customHeight="1">
      <c r="A11" s="10" t="s">
        <v>35</v>
      </c>
      <c r="B11" s="6" t="n">
        <v>22</v>
      </c>
      <c r="C11" s="9" t="n">
        <v>10</v>
      </c>
      <c r="D11" s="30"/>
      <c r="E11" s="30"/>
      <c r="F11" s="36"/>
      <c r="G11" s="18"/>
      <c r="H11" s="42"/>
      <c r="I11" s="41"/>
    </row>
    <row r="12" spans="1:9" ht="24.75" customHeight="1">
      <c r="A12" s="10" t="s">
        <v>34</v>
      </c>
      <c r="B12" s="6" t="n">
        <v>33</v>
      </c>
      <c r="C12" s="9" t="n">
        <v>11</v>
      </c>
      <c r="D12" s="30"/>
      <c r="E12" s="30"/>
      <c r="F12" s="36"/>
      <c r="G12" s="14" t="s">
        <v>13</v>
      </c>
      <c r="H12" s="20" t="n">
        <f>C10+C11+C12+C13+C14+C15+C16+C17+C18+C19+C20+C21</f>
        <v>122</v>
      </c>
      <c r="I12" s="38"/>
    </row>
    <row r="13" spans="1:9" ht="24.75" customHeight="1">
      <c r="A13" s="26" t="s">
        <v>33</v>
      </c>
      <c r="B13" s="6" t="n">
        <v>44</v>
      </c>
      <c r="C13" s="9" t="n">
        <v>10</v>
      </c>
      <c r="D13" s="30"/>
      <c r="E13" s="30"/>
      <c r="F13" s="36"/>
      <c r="G13" s="14" t="s">
        <v>11</v>
      </c>
      <c r="I13" s="38"/>
    </row>
    <row r="14" spans="1:9" ht="24.75" customHeight="1">
      <c r="A14" s="10" t="s">
        <v>32</v>
      </c>
      <c r="B14" s="6" t="n">
        <v>55</v>
      </c>
      <c r="C14" s="9" t="n">
        <v>10</v>
      </c>
      <c r="D14" s="30"/>
      <c r="E14" s="30"/>
      <c r="F14" s="40"/>
      <c r="G14" s="39" t="n">
        <f>SUM(E10:E21)/60</f>
        <v>0</v>
      </c>
      <c r="H14" s="23"/>
      <c r="I14" s="38"/>
    </row>
    <row r="15" spans="1:9" ht="24.75" customHeight="1">
      <c r="A15" s="10" t="s">
        <v>31</v>
      </c>
      <c r="B15" s="6" t="n">
        <v>66</v>
      </c>
      <c r="C15" s="9" t="n">
        <v>10</v>
      </c>
      <c r="D15" s="30"/>
      <c r="E15" s="30"/>
      <c r="F15" s="37"/>
      <c r="G15" s="58" t="s">
        <v>16</v>
      </c>
      <c r="H15" s="59"/>
      <c r="I15" s="60"/>
    </row>
    <row r="16" spans="1:9" ht="24.75" customHeight="1">
      <c r="A16" s="10" t="s">
        <v>30</v>
      </c>
      <c r="B16" s="6" t="n">
        <v>77</v>
      </c>
      <c r="C16" s="9" t="n">
        <v>10</v>
      </c>
      <c r="D16" s="30"/>
      <c r="E16" s="30"/>
      <c r="F16" s="36"/>
      <c r="G16" s="14" t="s">
        <v>13</v>
      </c>
      <c r="H16" s="20" t="n">
        <f>SUM(F10:F21)</f>
        <v>0</v>
      </c>
      <c r="I16" s="95" t="n">
        <f>B21-B21*G14/12</f>
        <v>132</v>
      </c>
    </row>
    <row r="17" spans="1:9" ht="24.75" customHeight="1">
      <c r="A17" s="10" t="s">
        <v>29</v>
      </c>
      <c r="B17" s="6" t="n">
        <v>88</v>
      </c>
      <c r="C17" s="9" t="n">
        <v>10</v>
      </c>
      <c r="D17" s="30"/>
      <c r="E17" s="30"/>
      <c r="F17" s="36"/>
      <c r="G17" s="14" t="s">
        <v>11</v>
      </c>
      <c r="H17" s="96"/>
      <c r="I17" s="97"/>
    </row>
    <row r="18" spans="1:9" ht="24.75" customHeight="1">
      <c r="A18" s="10" t="s">
        <v>28</v>
      </c>
      <c r="B18" s="6" t="n">
        <v>99</v>
      </c>
      <c r="C18" s="9" t="n">
        <v>10</v>
      </c>
      <c r="D18" s="30"/>
      <c r="E18" s="30"/>
      <c r="F18" s="36"/>
      <c r="G18" s="14" t="str">
        <v>Scrap (PC)</v>
      </c>
      <c r="H18" s="20" t="n">
        <f>IF(G8=0,"N/A",H16/G8)</f>
        <v>0</v>
      </c>
      <c r="I18" s="98"/>
    </row>
    <row r="19" spans="1:9" ht="24.75" customHeight="1">
      <c r="A19" s="10" t="s">
        <v>27</v>
      </c>
      <c r="B19" s="6" t="n">
        <v>110</v>
      </c>
      <c r="C19" s="9" t="n">
        <v>11</v>
      </c>
      <c r="D19" s="30"/>
      <c r="E19" s="30"/>
      <c r="F19" s="36"/>
      <c r="G19" s="73" t="s">
        <v>26</v>
      </c>
      <c r="H19" s="73" t="s">
        <v>3</v>
      </c>
      <c r="I19" s="73" t="s">
        <v>25</v>
      </c>
    </row>
    <row r="20" spans="1:9" ht="24.75" customHeight="1">
      <c r="A20" s="10" t="s">
        <v>24</v>
      </c>
      <c r="B20" s="6" t="n">
        <v>121</v>
      </c>
      <c r="C20" s="9" t="n">
        <v>10</v>
      </c>
      <c r="D20" s="30"/>
      <c r="E20" s="30"/>
      <c r="F20" s="36"/>
      <c r="G20" s="35" t="n">
        <f>IF(OR(E8=0,G8=0,12-G14&lt;=0),"N/A",(H12+H18)/(E8*(12-G14)))</f>
        <v>0.9242424242424242</v>
      </c>
      <c r="H20" s="34" t="n">
        <f>IF((12*60-SUMIFS(E10:E21,D10:D21,"No Order")-SUMIFS(E10:E21,D10:D21,"Plan Complete"))&lt;=0,"N/A",(12*60-G14*60)/(12*60-SUMIFS(E10:E21,D10:D21,"No Order")-SUMIFS(E10:E21,D10:D21,"Plan Complete")))</f>
        <v>1</v>
      </c>
      <c r="I20" s="33" t="n">
        <f>IF(OR(G8=0,H20="N/A"),"N/A",IF(H12+H18=0,"N/A",H12/(H12+H18)))</f>
        <v>1</v>
      </c>
    </row>
    <row r="21" spans="1:9" ht="24.75" customHeight="1" thickBot="1">
      <c r="A21" s="7" t="s">
        <v>23</v>
      </c>
      <c r="B21" s="4" t="n">
        <v>132</v>
      </c>
      <c r="C21" s="32" t="n">
        <v>10</v>
      </c>
      <c r="D21" s="30"/>
      <c r="E21" s="30"/>
      <c r="F21" s="31"/>
      <c r="G21" s="73" t="s">
        <v>6</v>
      </c>
      <c r="H21" s="99" t="n">
        <f>IF(H20="N/A","N/A",IF(H20=0,0,IF(OR(G20="N/A",I20="N/A"),"N/A",G20*H20*I20)))</f>
        <v>0.9242424242424242</v>
      </c>
    </row>
    <row r="22" spans="1:9" ht="24.75" customHeight="1" thickTop="1">
      <c r="A22" s="28" t="s">
        <v>22</v>
      </c>
      <c r="B22" s="6" t="n">
        <v>143</v>
      </c>
      <c r="C22" s="9" t="n">
        <v>10</v>
      </c>
      <c r="D22" s="30"/>
      <c r="E22" s="30"/>
      <c r="F22" s="29"/>
      <c r="G22" s="55" t="s">
        <v>21</v>
      </c>
      <c r="H22" s="56"/>
      <c r="I22" s="57"/>
    </row>
    <row r="23" spans="1:9" ht="24.75" customHeight="1">
      <c r="A23" s="28" t="s">
        <v>20</v>
      </c>
      <c r="B23" s="6" t="n">
        <v>154</v>
      </c>
      <c r="C23" s="9" t="n">
        <v>10</v>
      </c>
      <c r="D23" s="30"/>
      <c r="E23" s="30"/>
      <c r="F23" s="8"/>
      <c r="G23" s="14" t="s">
        <v>13</v>
      </c>
      <c r="H23" s="23" t="n">
        <f>SUM(C22:C33)</f>
        <v>29</v>
      </c>
      <c r="I23" s="97"/>
    </row>
    <row r="24" spans="1:9" ht="24.75" customHeight="1">
      <c r="A24" s="10" t="s">
        <v>19</v>
      </c>
      <c r="B24" s="6" t="n">
        <v>165</v>
      </c>
      <c r="C24" s="9" t="n">
        <v>9</v>
      </c>
      <c r="D24" s="30" t="str">
        <v>Plan Complete</v>
      </c>
      <c r="E24" s="30" t="n">
        <v>30</v>
      </c>
      <c r="F24" s="27" t="n">
        <v>20</v>
      </c>
      <c r="G24" s="14" t="s">
        <v>11</v>
      </c>
      <c r="I24" s="15"/>
    </row>
    <row r="25" spans="1:9" ht="24.75" customHeight="1">
      <c r="A25" s="26" t="s">
        <v>18</v>
      </c>
      <c r="B25" s="6" t="n">
        <v>176</v>
      </c>
      <c r="C25" s="9" t="n">
        <v>0</v>
      </c>
      <c r="D25" s="30" t="str">
        <v>No Order</v>
      </c>
      <c r="E25" s="30" t="n">
        <v>60</v>
      </c>
      <c r="F25" s="25"/>
      <c r="G25" s="24" t="n">
        <f>SUM(E22:E33)/60</f>
        <v>9.5</v>
      </c>
      <c r="H25" s="23"/>
      <c r="I25" s="22"/>
    </row>
    <row r="26" spans="1:9" ht="24.75" customHeight="1">
      <c r="A26" s="10" t="s">
        <v>17</v>
      </c>
      <c r="B26" s="6" t="n">
        <v>187</v>
      </c>
      <c r="C26" s="9" t="n">
        <v>0</v>
      </c>
      <c r="D26" s="30" t="str">
        <v>No Order</v>
      </c>
      <c r="E26" s="30" t="n">
        <v>60</v>
      </c>
      <c r="F26" s="21"/>
      <c r="G26" s="58" t="s">
        <v>16</v>
      </c>
      <c r="H26" s="59"/>
      <c r="I26" s="60"/>
    </row>
    <row r="27" spans="1:9" ht="24.75" customHeight="1">
      <c r="A27" s="10" t="s">
        <v>15</v>
      </c>
      <c r="B27" s="6" t="n">
        <v>198</v>
      </c>
      <c r="C27" s="9" t="n">
        <v>0</v>
      </c>
      <c r="D27" s="30" t="str">
        <v>No Order</v>
      </c>
      <c r="E27" s="30" t="n">
        <v>60</v>
      </c>
      <c r="F27" s="8"/>
      <c r="G27" s="18"/>
      <c r="H27" s="17"/>
      <c r="I27" s="95"/>
    </row>
    <row r="28" spans="1:9" ht="24.75" customHeight="1">
      <c r="A28" s="10" t="s">
        <v>14</v>
      </c>
      <c r="B28" s="6" t="n">
        <v>209</v>
      </c>
      <c r="C28" s="9" t="n">
        <v>0</v>
      </c>
      <c r="D28" s="30" t="str">
        <v>No Order</v>
      </c>
      <c r="E28" s="30" t="n">
        <v>60</v>
      </c>
      <c r="F28" s="8"/>
      <c r="G28" s="14" t="s">
        <v>13</v>
      </c>
      <c r="H28" s="16" t="n">
        <f>SUM(F22:F33)</f>
        <v>20</v>
      </c>
      <c r="I28" s="15"/>
    </row>
    <row r="29" spans="1:9" ht="24.75" customHeight="1">
      <c r="A29" s="10" t="s">
        <v>12</v>
      </c>
      <c r="B29" s="6" t="n">
        <v>220</v>
      </c>
      <c r="C29" s="9" t="n">
        <v>0</v>
      </c>
      <c r="D29" s="30" t="str">
        <v>No Order</v>
      </c>
      <c r="E29" s="30" t="n">
        <v>60</v>
      </c>
      <c r="F29" s="8"/>
      <c r="G29" s="14" t="s">
        <v>11</v>
      </c>
      <c r="H29" s="96"/>
      <c r="I29" s="98"/>
    </row>
    <row r="30" spans="1:9" ht="24.75" customHeight="1">
      <c r="A30" s="10" t="s">
        <v>10</v>
      </c>
      <c r="B30" s="6" t="n">
        <v>231</v>
      </c>
      <c r="C30" s="9" t="n">
        <v>0</v>
      </c>
      <c r="D30" s="30" t="str">
        <v>No Order</v>
      </c>
      <c r="E30" s="30" t="n">
        <v>60</v>
      </c>
      <c r="F30" s="8"/>
      <c r="G30" s="14" t="str">
        <v>Scrap (PC)</v>
      </c>
      <c r="H30" s="20" t="n">
        <f>IF(G8=0,"N/A",H28/G8)</f>
        <v>0.7692307692307693</v>
      </c>
      <c r="I30" s="19"/>
    </row>
    <row r="31" spans="1:9" ht="24.75" customHeight="1">
      <c r="A31" s="10" t="s">
        <v>8</v>
      </c>
      <c r="B31" s="6" t="n">
        <v>242</v>
      </c>
      <c r="C31" s="9" t="n">
        <v>0</v>
      </c>
      <c r="D31" s="30" t="str">
        <v>No Order</v>
      </c>
      <c r="E31" s="30" t="n">
        <v>60</v>
      </c>
      <c r="F31" s="8"/>
      <c r="G31" s="13" t="n">
        <f>IF(OR(E8=0,G8=0,12-G25&lt;=0),"N/A",(H23+H30)/(E8*(12-G25)))</f>
        <v>1.0825174825174826</v>
      </c>
      <c r="H31" s="12" t="n">
        <f>IF((12*60-SUMIFS(E22:E33,D22:D33,"No Order")-SUMIFS(E22:E33,D22:D33,"Plan Complete"))&lt;=0,"N/A",(12*60-G25*60)/(12*60-SUMIFS(E22:E33,D22:D33,"No Order")-SUMIFS(E22:E33,D22:D33,"Plan Complete")))</f>
        <v>1</v>
      </c>
      <c r="I31" s="11" t="n">
        <f>IF(OR(G8=0,H31="N/A"),"N/A",IF(H23+H30=0,"N/A",H23/(H23+H30)))</f>
        <v>0.9741602067183462</v>
      </c>
    </row>
    <row r="32" spans="1:9" ht="24.75" customHeight="1">
      <c r="A32" s="10" t="s">
        <v>7</v>
      </c>
      <c r="B32" s="6" t="n">
        <v>253</v>
      </c>
      <c r="C32" s="9" t="n">
        <v>0</v>
      </c>
      <c r="D32" s="30" t="str">
        <v>No Order</v>
      </c>
      <c r="E32" s="30" t="n">
        <v>60</v>
      </c>
      <c r="F32" s="8"/>
      <c r="G32" s="73" t="s">
        <v>6</v>
      </c>
      <c r="H32" s="100" t="n">
        <f>IF(H31="N/A","N/A",IF(H31=0,0,IF(OR(G31="N/A",I31="N/A"),"N/A",G31*H31*I31)))</f>
        <v>1.0545454545454547</v>
      </c>
    </row>
    <row r="33" spans="1:9" ht="24.75" customHeight="1" thickBot="1">
      <c r="A33" s="7" t="s">
        <v>5</v>
      </c>
      <c r="B33" s="6" t="n">
        <v>264</v>
      </c>
      <c r="C33" s="5" t="n">
        <v>0</v>
      </c>
      <c r="D33" s="30" t="str">
        <v>No Order</v>
      </c>
      <c r="E33" s="30" t="n">
        <v>60</v>
      </c>
      <c r="F33" s="3"/>
      <c r="G33" s="101"/>
      <c r="H33" s="102"/>
      <c r="I33" s="3"/>
    </row>
    <row r="34" spans="1:9" ht="24.75" customHeight="1" thickTop="1">
      <c r="A34" s="1"/>
      <c r="B34" s="1"/>
      <c r="C34" s="2"/>
      <c r="D34" s="2"/>
      <c r="E34" s="1"/>
      <c r="F34" s="1"/>
      <c r="G34" s="1" t="s">
        <v>4</v>
      </c>
      <c r="H34" s="1" t="s">
        <v>3</v>
      </c>
      <c r="I34" s="1" t="s">
        <v>2</v>
      </c>
    </row>
    <row r="35" spans="1:9" ht="24.75" customHeight="1">
      <c r="A35" s="1"/>
      <c r="B35" s="1"/>
      <c r="C35" s="2"/>
      <c r="D35" s="2"/>
      <c r="E35" s="1"/>
      <c r="F35" s="1"/>
      <c r="G35" s="103" t="n">
        <f>G14+G25</f>
        <v>9.5</v>
      </c>
      <c r="H35" s="1" t="n">
        <f>H12+H23</f>
        <v>151</v>
      </c>
      <c r="I35" s="1" t="n">
        <f>H18+H30</f>
        <v>0.7692307692307693</v>
      </c>
    </row>
    <row r="36" spans="1:9" ht="24.75" customHeight="1">
      <c r="A36" s="1"/>
      <c r="B36" s="1"/>
      <c r="C36" s="2"/>
      <c r="D36" s="2"/>
      <c r="E36" s="1"/>
      <c r="F36" s="1"/>
      <c r="G36" s="104" t="n">
        <f>IF(OR(E8=0,G8=0,24-G35&lt;=0),"N/A",(H35+I35)/(E8*(24-G35)))</f>
        <v>0.9515312273932964</v>
      </c>
      <c r="H36" s="104" t="n">
        <f>IF((24*60-SUMIFS(E10:E33,D10:D33,"No Order")-SUMIFS(E10:E33,D10:D33,"Plan Complete"))&lt;=0,"N/A",(24*60-G35*60)/(24*60-SUMIFS(E10:E33,D10:D33,"No Order")-SUMIFS(E10:E33,D10:D33,"Plan Complete")))</f>
        <v>1</v>
      </c>
      <c r="I36" s="104" t="n">
        <f>IF(OR(G8=0,H36="N/A"),"N/A",IF(H35+I35=0,"N/A",H35/(H35+I35)))</f>
        <v>0.9949315762797769</v>
      </c>
    </row>
    <row r="37" spans="1:9" ht="24.75" customHeight="1">
      <c r="A37" s="1"/>
      <c r="B37" s="1"/>
      <c r="C37" s="2"/>
      <c r="D37" s="2"/>
      <c r="E37" s="1"/>
      <c r="F37" s="1"/>
      <c r="G37" s="104"/>
      <c r="H37" s="105" t="n">
        <f>IF(H36="N/A","N/A",IF(H36=0,0,IF(OR(G36="N/A",I36="N/A"),"N/A",G36*H36*I36)))</f>
        <v>0.9467084639498432</v>
      </c>
      <c r="I37" s="104"/>
    </row>
    <row r="38" spans="1:9" ht="21" customHeight="1">
      <c r="B38" s="96" t="s">
        <v>1</v>
      </c>
      <c r="D38" s="96"/>
      <c r="E38" s="106"/>
      <c r="F38" s="96" t="s">
        <v>0</v>
      </c>
      <c r="G38" s="1"/>
      <c r="H38" s="1"/>
      <c r="I38" s="1"/>
    </row>
    <row r="39" spans="1:9" ht="66.75" customHeight="1">
      <c r="A39" s="1"/>
      <c r="B39" s="1"/>
      <c r="D39" s="1" t="str">
        <v>Binod</v>
      </c>
      <c r="E39" s="1"/>
      <c r="F39" s="1"/>
      <c r="G39" s="1"/>
      <c r="H39" s="1"/>
      <c r="I39" s="1"/>
    </row>
  </sheetData>
  <mergeCells count="10">
    <mergeCell ref="A3:C3"/>
    <mergeCell ref="D3:G3"/>
    <mergeCell ref="D4:G4"/>
    <mergeCell ref="D5:G5"/>
    <mergeCell ref="D6:G6"/>
    <mergeCell ref="G9:I9"/>
    <mergeCell ref="G10:I10"/>
    <mergeCell ref="G15:I15"/>
    <mergeCell ref="G22:I22"/>
    <mergeCell ref="G26:I26"/>
  </mergeCells>
  <printOptions horizontalCentered="1" verticalCentered="1"/>
  <pageMargins left="0" right="0" top="0" bottom="0" header="0" footer="0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28</vt:lpstr>
      <vt:lpstr>'28'!Print_Area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Precision 3530</dc:creator>
  <cp:lastModifiedBy>Khaled Taha</cp:lastModifiedBy>
  <dcterms:created xsi:type="dcterms:W3CDTF">2015-06-05T18:17:20Z</dcterms:created>
  <dcterms:modified xsi:type="dcterms:W3CDTF">2026-09-29T10:08:38Z</dcterms:modified>
</cp:coreProperties>
</file>