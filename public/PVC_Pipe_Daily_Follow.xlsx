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Production Log" sheetId="1" r:id="rId1"/>
    <sheet name="Items Consolidated Summary" sheetId="2" r:id="rId2"/>
    <sheet name="Machine_Master" sheetId="3" r:id="rId3"/>
  </sheets>
  <definedNames>
    <definedName name="_xlnm._FilterDatabase" localSheetId="0" hidden="1">'Daily Production Log'!A1:I46</definedName>
    <definedName name="_xlnm._FilterDatabase" localSheetId="1" hidden="1">'Items Consolidated Summary'!A1:G46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workbookViewId="0" rightToLeft="0"/>
  </sheetViews>
  <sheetData>
    <row r="1">
      <c r="A1" t="str">
        <v>Date</v>
      </c>
      <c r="B1" t="str">
        <v>Item Code</v>
      </c>
      <c r="C1" t="str">
        <v>Product Description &amp; Specs</v>
      </c>
      <c r="D1" t="str">
        <v>Machine</v>
      </c>
      <c r="E1" t="str">
        <v>Production Qty (FG)</v>
      </c>
      <c r="F1" t="str">
        <v>Unit Weight (kg)</v>
      </c>
      <c r="G1" t="str">
        <v>Total Weight (kg)</v>
      </c>
      <c r="H1" t="str">
        <v>Scrap / Rejection (kg)</v>
      </c>
      <c r="I1" t="str">
        <v>Operating Hours</v>
      </c>
    </row>
    <row r="2">
      <c r="A2" t="str">
        <v>2026-09-07</v>
      </c>
      <c r="B2" t="str">
        <v>249</v>
      </c>
      <c r="C2" t="str">
        <v>uPVC PIPE 110x5.3 PN-12.5 SASO-ISO 1452-2</v>
      </c>
      <c r="D2" t="str">
        <v>KTS-350</v>
      </c>
      <c r="E2">
        <v>392</v>
      </c>
      <c r="F2">
        <v>17.3</v>
      </c>
      <c r="G2">
        <v>6782</v>
      </c>
      <c r="H2">
        <v>0</v>
      </c>
      <c r="I2">
        <v>24</v>
      </c>
    </row>
    <row r="3">
      <c r="A3" t="str">
        <v>2026-09-07</v>
      </c>
      <c r="B3" t="str">
        <v>991</v>
      </c>
      <c r="C3" t="str">
        <v>PVC 4" PIPE SDR 26 ASTMD 2241</v>
      </c>
      <c r="D3" t="str">
        <v>KABRA-90</v>
      </c>
      <c r="E3">
        <v>140</v>
      </c>
      <c r="F3">
        <v>16</v>
      </c>
      <c r="G3">
        <v>2240</v>
      </c>
      <c r="H3">
        <v>40</v>
      </c>
      <c r="I3">
        <v>12</v>
      </c>
    </row>
    <row r="4">
      <c r="A4" t="str">
        <v>2026-09-07</v>
      </c>
      <c r="B4" t="str">
        <v>253</v>
      </c>
      <c r="C4" t="str">
        <v>uPVC PIPE 75MM PN10X3.6MM SASO-ISO-1452-2</v>
      </c>
      <c r="D4" t="str">
        <v>KTS-350 TDH</v>
      </c>
      <c r="E4">
        <v>700</v>
      </c>
      <c r="F4">
        <v>8.2</v>
      </c>
      <c r="G4">
        <v>5740</v>
      </c>
      <c r="H4">
        <v>0</v>
      </c>
      <c r="I4">
        <v>24</v>
      </c>
    </row>
    <row r="5">
      <c r="A5" t="str">
        <v>2026-09-07</v>
      </c>
      <c r="B5" t="str">
        <v>255</v>
      </c>
      <c r="C5" t="str">
        <v>uPVC PIPE 50x2.4 PN-10 SASO-ISO 1452-2</v>
      </c>
      <c r="D5" t="str">
        <v>KTS-170</v>
      </c>
      <c r="E5">
        <v>900</v>
      </c>
      <c r="F5">
        <v>3.8</v>
      </c>
      <c r="G5">
        <v>3420</v>
      </c>
      <c r="H5">
        <v>0</v>
      </c>
      <c r="I5">
        <v>24</v>
      </c>
    </row>
    <row r="6">
      <c r="A6" t="str">
        <v>2026-09-07</v>
      </c>
      <c r="B6" t="str">
        <v>198</v>
      </c>
      <c r="C6" t="str">
        <v>PVC PIPE 3/4"SCH40</v>
      </c>
      <c r="D6" t="str">
        <v>KTS-200</v>
      </c>
      <c r="E6">
        <v>600</v>
      </c>
      <c r="F6">
        <v>1.6</v>
      </c>
      <c r="G6">
        <v>960</v>
      </c>
      <c r="H6">
        <v>0</v>
      </c>
      <c r="I6">
        <v>12</v>
      </c>
    </row>
    <row r="7">
      <c r="A7" t="str">
        <v>2026-09-08</v>
      </c>
      <c r="B7" t="str">
        <v>991</v>
      </c>
      <c r="C7" t="str">
        <v>PVC 4" PIPE SDR 26 ASTMD 2241</v>
      </c>
      <c r="D7" t="str">
        <v>KABRA-90</v>
      </c>
      <c r="E7">
        <v>448</v>
      </c>
      <c r="F7">
        <v>16</v>
      </c>
      <c r="G7">
        <v>7168</v>
      </c>
      <c r="H7">
        <v>0</v>
      </c>
      <c r="I7">
        <v>24</v>
      </c>
    </row>
    <row r="8">
      <c r="A8" t="str">
        <v>2026-09-08</v>
      </c>
      <c r="B8" t="str">
        <v>249</v>
      </c>
      <c r="C8" t="str">
        <v>uPVC PIPE 110x5.3 PN-12.5 SASO-ISO 1452-2</v>
      </c>
      <c r="D8" t="str">
        <v>KTS-350</v>
      </c>
      <c r="E8">
        <v>420</v>
      </c>
      <c r="F8">
        <v>17.3</v>
      </c>
      <c r="G8">
        <v>7266</v>
      </c>
      <c r="H8">
        <v>0</v>
      </c>
      <c r="I8">
        <v>24</v>
      </c>
    </row>
    <row r="9">
      <c r="A9" t="str">
        <v>2026-09-08</v>
      </c>
      <c r="B9" t="str">
        <v>253</v>
      </c>
      <c r="C9" t="str">
        <v>uPVC PIPE 75MM PN10X3.6MM SASO-ISO-1452-2</v>
      </c>
      <c r="D9" t="str">
        <v>KTS-350 TDH</v>
      </c>
      <c r="E9">
        <v>298</v>
      </c>
      <c r="F9">
        <v>8.2</v>
      </c>
      <c r="G9">
        <v>2444</v>
      </c>
      <c r="H9">
        <v>0</v>
      </c>
      <c r="I9">
        <v>11</v>
      </c>
    </row>
    <row r="10">
      <c r="A10" t="str">
        <v>2026-09-08</v>
      </c>
      <c r="B10" t="str">
        <v>195</v>
      </c>
      <c r="C10" t="str">
        <v>uPVC PIPE 75MM 2.2MM GRAY PN-6 EN 1452</v>
      </c>
      <c r="D10" t="str">
        <v>KTS-350 TDH</v>
      </c>
      <c r="E10">
        <v>400</v>
      </c>
      <c r="F10">
        <v>4</v>
      </c>
      <c r="G10">
        <v>1600</v>
      </c>
      <c r="H10">
        <v>15</v>
      </c>
      <c r="I10">
        <v>12</v>
      </c>
    </row>
    <row r="11">
      <c r="A11" t="str">
        <v>2026-09-08</v>
      </c>
      <c r="B11" t="str">
        <v>198</v>
      </c>
      <c r="C11" t="str">
        <v>PVC PIPE 3/4"SCH40</v>
      </c>
      <c r="D11" t="str">
        <v>KTS-200</v>
      </c>
      <c r="E11">
        <v>1600</v>
      </c>
      <c r="F11">
        <v>1.6</v>
      </c>
      <c r="G11">
        <v>2560</v>
      </c>
      <c r="H11">
        <v>0</v>
      </c>
      <c r="I11">
        <v>24</v>
      </c>
    </row>
    <row r="12">
      <c r="A12" t="str">
        <v>2026-09-08</v>
      </c>
      <c r="B12" t="str">
        <v>255</v>
      </c>
      <c r="C12" t="str">
        <v>uPVC PIPE 50x2.4 PN-10 SASO-ISO 1452-2</v>
      </c>
      <c r="D12" t="str">
        <v>KTS-170</v>
      </c>
      <c r="E12">
        <v>900</v>
      </c>
      <c r="F12">
        <v>3.8</v>
      </c>
      <c r="G12">
        <v>3420</v>
      </c>
      <c r="H12">
        <v>0</v>
      </c>
      <c r="I12">
        <v>24</v>
      </c>
    </row>
    <row r="13">
      <c r="A13" t="str">
        <v>2026-09-09</v>
      </c>
      <c r="B13" t="str">
        <v>991</v>
      </c>
      <c r="C13" t="str">
        <v>PVC 4" PIPE SDR 26 ASTMD 2241</v>
      </c>
      <c r="D13" t="str">
        <v>KABRA-90</v>
      </c>
      <c r="E13">
        <v>420</v>
      </c>
      <c r="F13">
        <v>16</v>
      </c>
      <c r="G13">
        <v>6720</v>
      </c>
      <c r="H13">
        <v>0</v>
      </c>
      <c r="I13">
        <v>24</v>
      </c>
    </row>
    <row r="14">
      <c r="A14" t="str">
        <v>2026-09-09</v>
      </c>
      <c r="B14" t="str">
        <v>249</v>
      </c>
      <c r="C14" t="str">
        <v>uPVC PIPE 110x5.3 PN-12.5 SASO-ISO 1452-2</v>
      </c>
      <c r="D14" t="str">
        <v>KTS-350</v>
      </c>
      <c r="E14">
        <v>154</v>
      </c>
      <c r="F14">
        <v>17.3</v>
      </c>
      <c r="G14">
        <v>2664</v>
      </c>
      <c r="H14">
        <v>15</v>
      </c>
      <c r="I14">
        <v>12</v>
      </c>
    </row>
    <row r="15">
      <c r="A15" t="str">
        <v>2026-09-09</v>
      </c>
      <c r="B15" t="str">
        <v>1291</v>
      </c>
      <c r="C15" t="str">
        <v>MANARCO PVC PIPE 3" SCH 40 ASTMD 1785</v>
      </c>
      <c r="D15" t="str">
        <v>KTS-350</v>
      </c>
      <c r="E15">
        <v>175</v>
      </c>
      <c r="F15">
        <v>15</v>
      </c>
      <c r="G15">
        <v>2625</v>
      </c>
      <c r="H15">
        <v>20</v>
      </c>
      <c r="I15">
        <v>12</v>
      </c>
    </row>
    <row r="16">
      <c r="A16" t="str">
        <v>2026-09-09</v>
      </c>
      <c r="B16" t="str">
        <v>195</v>
      </c>
      <c r="C16" t="str">
        <v>uPVC PIPE 75MM 2.2MM GRAY PN-6 EN 1452</v>
      </c>
      <c r="D16" t="str">
        <v>KTS-350 TDH</v>
      </c>
      <c r="E16">
        <v>1000</v>
      </c>
      <c r="F16">
        <v>4</v>
      </c>
      <c r="G16">
        <v>4000</v>
      </c>
      <c r="H16">
        <v>10</v>
      </c>
      <c r="I16">
        <v>24</v>
      </c>
    </row>
    <row r="17">
      <c r="A17" t="str">
        <v>2026-09-09</v>
      </c>
      <c r="B17" t="str">
        <v>198</v>
      </c>
      <c r="C17" t="str">
        <v>PVC PIPE 3/4"SCH40</v>
      </c>
      <c r="D17" t="str">
        <v>KTS-200</v>
      </c>
      <c r="E17">
        <v>1600</v>
      </c>
      <c r="F17">
        <v>1.6</v>
      </c>
      <c r="G17">
        <v>2560</v>
      </c>
      <c r="H17">
        <v>0</v>
      </c>
      <c r="I17">
        <v>24</v>
      </c>
    </row>
    <row r="18">
      <c r="A18" t="str">
        <v>2026-09-09</v>
      </c>
      <c r="B18" t="str">
        <v>255</v>
      </c>
      <c r="C18" t="str">
        <v>uPVC PIPE 50x2.4 PN-10 SASO-ISO 1452-2</v>
      </c>
      <c r="D18" t="str">
        <v>KTS-170</v>
      </c>
      <c r="E18">
        <v>850</v>
      </c>
      <c r="F18">
        <v>3.8</v>
      </c>
      <c r="G18">
        <v>3230</v>
      </c>
      <c r="H18">
        <v>0</v>
      </c>
      <c r="I18">
        <v>24</v>
      </c>
    </row>
    <row r="19">
      <c r="A19" t="str">
        <v>2026-09-10</v>
      </c>
      <c r="B19" t="str">
        <v>991</v>
      </c>
      <c r="C19" t="str">
        <v>PVC 4" PIPE SDR 26 ASTMD 2241</v>
      </c>
      <c r="D19" t="str">
        <v>KABRA-90</v>
      </c>
      <c r="E19">
        <v>448</v>
      </c>
      <c r="F19">
        <v>16</v>
      </c>
      <c r="G19">
        <v>7168</v>
      </c>
      <c r="H19">
        <v>0</v>
      </c>
      <c r="I19">
        <v>24</v>
      </c>
    </row>
    <row r="20">
      <c r="A20" t="str">
        <v>2026-09-10</v>
      </c>
      <c r="B20" t="str">
        <v>1291</v>
      </c>
      <c r="C20" t="str">
        <v>MANARCO PVC PIPE 3" SCH 40 ASTMD 1785</v>
      </c>
      <c r="D20" t="str">
        <v>KTS-350</v>
      </c>
      <c r="E20">
        <v>420</v>
      </c>
      <c r="F20">
        <v>15</v>
      </c>
      <c r="G20">
        <v>6300</v>
      </c>
      <c r="H20">
        <v>0</v>
      </c>
      <c r="I20">
        <v>24</v>
      </c>
    </row>
    <row r="21">
      <c r="A21" t="str">
        <v>2026-09-10</v>
      </c>
      <c r="B21" t="str">
        <v>195</v>
      </c>
      <c r="C21" t="str">
        <v>uPVC PIPE 75MM 2.2MM GRAY PN-6 EN 1452</v>
      </c>
      <c r="D21" t="str">
        <v>KTS-350 TDH</v>
      </c>
      <c r="E21">
        <v>609</v>
      </c>
      <c r="F21">
        <v>4</v>
      </c>
      <c r="G21">
        <v>2436</v>
      </c>
      <c r="H21">
        <v>10</v>
      </c>
      <c r="I21">
        <v>13</v>
      </c>
    </row>
    <row r="22">
      <c r="A22" t="str">
        <v>2026-09-10</v>
      </c>
      <c r="B22" t="str">
        <v>247 R</v>
      </c>
      <c r="C22" t="str">
        <v>uPVC PIPE 160MM SASO-ISO 1452-2 PN12.5 7.7MM R/R</v>
      </c>
      <c r="D22" t="str">
        <v>KTS-700</v>
      </c>
      <c r="E22">
        <v>60</v>
      </c>
      <c r="F22">
        <v>36.5</v>
      </c>
      <c r="G22">
        <v>2190</v>
      </c>
      <c r="H22">
        <v>85</v>
      </c>
      <c r="I22">
        <v>5</v>
      </c>
    </row>
    <row r="23">
      <c r="A23" t="str">
        <v>2026-09-10</v>
      </c>
      <c r="B23" t="str">
        <v>198</v>
      </c>
      <c r="C23" t="str">
        <v>PVC PIPE 3/4"SCH40</v>
      </c>
      <c r="D23" t="str">
        <v>KTS-200</v>
      </c>
      <c r="E23">
        <v>237</v>
      </c>
      <c r="F23">
        <v>1.6</v>
      </c>
      <c r="G23">
        <v>379</v>
      </c>
      <c r="H23">
        <v>5</v>
      </c>
      <c r="I23">
        <v>4</v>
      </c>
    </row>
    <row r="24">
      <c r="A24" t="str">
        <v>2026-09-10</v>
      </c>
      <c r="B24" t="str">
        <v>255</v>
      </c>
      <c r="C24" t="str">
        <v>uPVC PIPE 50x2.4 PN-10 SASO-ISO 1452-2</v>
      </c>
      <c r="D24" t="str">
        <v>KTS-170</v>
      </c>
      <c r="E24">
        <v>350</v>
      </c>
      <c r="F24">
        <v>3.8</v>
      </c>
      <c r="G24">
        <v>1330</v>
      </c>
      <c r="H24">
        <v>5</v>
      </c>
      <c r="I24">
        <v>11</v>
      </c>
    </row>
    <row r="25">
      <c r="A25" t="str">
        <v>2026-09-10</v>
      </c>
      <c r="B25" t="str">
        <v>197</v>
      </c>
      <c r="C25" t="str">
        <v>PVC 1" PIPE SCH40 ASTMD 2241</v>
      </c>
      <c r="D25" t="str">
        <v>KTS-200</v>
      </c>
      <c r="E25">
        <v>500</v>
      </c>
      <c r="F25">
        <v>2.8</v>
      </c>
      <c r="G25">
        <v>1400</v>
      </c>
      <c r="H25">
        <v>0</v>
      </c>
      <c r="I25">
        <v>10</v>
      </c>
    </row>
    <row r="26">
      <c r="A26" t="str">
        <v>2026-09-12</v>
      </c>
      <c r="B26" t="str">
        <v>247 R</v>
      </c>
      <c r="C26" t="str">
        <v>uPVC PIPE 160MM SASO-ISO 1452-2 PN12.5 7.7MM R/R</v>
      </c>
      <c r="D26" t="str">
        <v>KTS-700</v>
      </c>
      <c r="E26">
        <v>285</v>
      </c>
      <c r="F26">
        <v>36.5</v>
      </c>
      <c r="G26">
        <v>10403</v>
      </c>
      <c r="H26">
        <v>50</v>
      </c>
      <c r="I26">
        <v>24</v>
      </c>
    </row>
    <row r="27">
      <c r="A27" t="str">
        <v>2026-09-12</v>
      </c>
      <c r="B27" t="str">
        <v>230</v>
      </c>
      <c r="C27" t="str">
        <v>PVC PIPE 160MM EN1452 PN7.5 4.7MM GRAY R/R</v>
      </c>
      <c r="D27" t="str">
        <v>KABRA-90</v>
      </c>
      <c r="E27">
        <v>84</v>
      </c>
      <c r="F27">
        <v>22</v>
      </c>
      <c r="G27">
        <v>1848</v>
      </c>
      <c r="H27">
        <v>20</v>
      </c>
      <c r="I27">
        <v>8</v>
      </c>
    </row>
    <row r="28">
      <c r="A28" t="str">
        <v>2026-09-12</v>
      </c>
      <c r="B28" t="str">
        <v>991</v>
      </c>
      <c r="C28" t="str">
        <v>PVC 4" PIPE SDR 26 ASTMD 2241</v>
      </c>
      <c r="D28" t="str">
        <v>KABRA-90</v>
      </c>
      <c r="E28">
        <v>224</v>
      </c>
      <c r="F28">
        <v>16</v>
      </c>
      <c r="G28">
        <v>3584</v>
      </c>
      <c r="H28">
        <v>40</v>
      </c>
      <c r="I28">
        <v>14</v>
      </c>
    </row>
    <row r="29">
      <c r="A29" t="str">
        <v>2026-09-12</v>
      </c>
      <c r="B29" t="str">
        <v>249</v>
      </c>
      <c r="C29" t="str">
        <v>uPVC PIPE 110x5.3 PN-12.5 SASO-ISO 1452-2</v>
      </c>
      <c r="D29" t="str">
        <v>KTS-350</v>
      </c>
      <c r="E29">
        <v>364</v>
      </c>
      <c r="F29">
        <v>17.3</v>
      </c>
      <c r="G29">
        <v>6297</v>
      </c>
      <c r="H29">
        <v>40</v>
      </c>
      <c r="I29">
        <v>24</v>
      </c>
    </row>
    <row r="30">
      <c r="A30" t="str">
        <v>2026-09-12</v>
      </c>
      <c r="B30" t="str">
        <v>197</v>
      </c>
      <c r="C30" t="str">
        <v>PVC 1" PIPE SCH40 ASTMD 2241</v>
      </c>
      <c r="D30" t="str">
        <v>KTS-200</v>
      </c>
      <c r="E30">
        <v>315</v>
      </c>
      <c r="F30">
        <v>2.8</v>
      </c>
      <c r="G30">
        <v>882</v>
      </c>
      <c r="H30">
        <v>5</v>
      </c>
      <c r="I30">
        <v>6</v>
      </c>
    </row>
    <row r="31">
      <c r="A31" t="str">
        <v>2026-09-13</v>
      </c>
      <c r="B31" t="str">
        <v>247 R</v>
      </c>
      <c r="C31" t="str">
        <v>uPVC PIPE 160MM SASO-ISO 1452-2 PN12.5 7.7MM R/R</v>
      </c>
      <c r="D31" t="str">
        <v>KTS-700</v>
      </c>
      <c r="E31">
        <v>285</v>
      </c>
      <c r="F31">
        <v>36.5</v>
      </c>
      <c r="G31">
        <v>10403</v>
      </c>
      <c r="H31">
        <v>0</v>
      </c>
      <c r="I31">
        <v>24</v>
      </c>
    </row>
    <row r="32">
      <c r="A32" t="str">
        <v>2026-09-13</v>
      </c>
      <c r="B32" t="str">
        <v>991</v>
      </c>
      <c r="C32" t="str">
        <v>PVC 4" PIPE SDR 26 ASTMD 2241</v>
      </c>
      <c r="D32" t="str">
        <v>KABRA-90</v>
      </c>
      <c r="E32">
        <v>420</v>
      </c>
      <c r="F32">
        <v>16</v>
      </c>
      <c r="G32">
        <v>6720</v>
      </c>
      <c r="H32">
        <v>0</v>
      </c>
      <c r="I32">
        <v>24</v>
      </c>
    </row>
    <row r="33">
      <c r="A33" t="str">
        <v>2026-09-13</v>
      </c>
      <c r="B33" t="str">
        <v>249</v>
      </c>
      <c r="C33" t="str">
        <v>uPVC PIPE 110x5.3 PN-12.5 SASO-ISO 1452-2</v>
      </c>
      <c r="D33" t="str">
        <v>KTS-350</v>
      </c>
      <c r="E33">
        <v>364</v>
      </c>
      <c r="F33">
        <v>15</v>
      </c>
      <c r="G33">
        <v>5460</v>
      </c>
      <c r="H33">
        <v>0</v>
      </c>
      <c r="I33">
        <v>24</v>
      </c>
    </row>
    <row r="34">
      <c r="A34" t="str">
        <v>2026-09-14</v>
      </c>
      <c r="B34" t="str">
        <v>247 R</v>
      </c>
      <c r="C34" t="str">
        <v>uPVC PIPE 160MM SASO-ISO 1452-2 PN12.5 7.7MM R/R</v>
      </c>
      <c r="D34" t="str">
        <v>KTS-700</v>
      </c>
      <c r="E34">
        <v>285</v>
      </c>
      <c r="F34">
        <v>36.5</v>
      </c>
      <c r="G34">
        <v>10403</v>
      </c>
      <c r="H34">
        <v>0</v>
      </c>
      <c r="I34">
        <v>24</v>
      </c>
    </row>
    <row r="35">
      <c r="A35" t="str">
        <v>2026-09-14</v>
      </c>
      <c r="B35" t="str">
        <v>991</v>
      </c>
      <c r="C35" t="str">
        <v>PVC 4" PIPE SDR 26 ASTMD 2241</v>
      </c>
      <c r="D35" t="str">
        <v>KABRA-90</v>
      </c>
      <c r="E35">
        <v>420</v>
      </c>
      <c r="F35">
        <v>16</v>
      </c>
      <c r="G35">
        <v>6720</v>
      </c>
      <c r="H35">
        <v>35</v>
      </c>
      <c r="I35">
        <v>24</v>
      </c>
    </row>
    <row r="36">
      <c r="A36" t="str">
        <v>2026-09-14</v>
      </c>
      <c r="B36" t="str">
        <v>249</v>
      </c>
      <c r="C36" t="str">
        <v>uPVC PIPE 110x5.3 PN-12.5 SASO-ISO 1452-2</v>
      </c>
      <c r="D36" t="str">
        <v>KTS-350</v>
      </c>
      <c r="E36">
        <v>420</v>
      </c>
      <c r="F36">
        <v>17.3</v>
      </c>
      <c r="G36">
        <v>7266</v>
      </c>
      <c r="H36">
        <v>0</v>
      </c>
      <c r="I36">
        <v>24</v>
      </c>
    </row>
    <row r="37">
      <c r="A37" t="str">
        <v>2026-09-14</v>
      </c>
      <c r="B37" t="str">
        <v>257</v>
      </c>
      <c r="C37" t="str">
        <v>PVC PIPE 32MM SASO-ISO 1452-2 PN10 1.6MM</v>
      </c>
      <c r="D37" t="str">
        <v>KTS-200</v>
      </c>
      <c r="E37">
        <v>800</v>
      </c>
      <c r="F37">
        <v>1.6</v>
      </c>
      <c r="G37">
        <v>1280</v>
      </c>
      <c r="H37">
        <v>5</v>
      </c>
      <c r="I37">
        <v>12</v>
      </c>
    </row>
    <row r="38">
      <c r="A38" t="str">
        <v>2026-09-14</v>
      </c>
      <c r="B38" t="str">
        <v>1006</v>
      </c>
      <c r="C38" t="str">
        <v>PVC COMPOUND FOR INJECTION ORINGE</v>
      </c>
      <c r="D38" t="str">
        <v>KTS-550</v>
      </c>
      <c r="E38">
        <v>3000</v>
      </c>
      <c r="F38">
        <v>1</v>
      </c>
      <c r="G38">
        <v>3000</v>
      </c>
      <c r="H38">
        <v>0</v>
      </c>
      <c r="I38">
        <v>12</v>
      </c>
    </row>
    <row r="39">
      <c r="A39" t="str">
        <v>2026-09-15</v>
      </c>
      <c r="B39" t="str">
        <v>247 R</v>
      </c>
      <c r="C39" t="str">
        <v>uPVC PIPE 160MM SASO-ISO 1452-2 PN12.5 7.7MM R/R</v>
      </c>
      <c r="D39" t="str">
        <v>KTS-700</v>
      </c>
      <c r="E39">
        <v>96</v>
      </c>
      <c r="F39">
        <v>36.5</v>
      </c>
      <c r="G39">
        <v>3504</v>
      </c>
      <c r="H39">
        <v>180</v>
      </c>
      <c r="I39">
        <v>9</v>
      </c>
    </row>
    <row r="40">
      <c r="A40" t="str">
        <v>2026-09-15</v>
      </c>
      <c r="B40" t="str">
        <v>991</v>
      </c>
      <c r="C40" t="str">
        <v>PVC 4" PIPE SDR 26 ASTMD 2241</v>
      </c>
      <c r="D40" t="str">
        <v>KTS-350</v>
      </c>
      <c r="E40">
        <v>420</v>
      </c>
      <c r="F40">
        <v>16</v>
      </c>
      <c r="G40">
        <v>6720</v>
      </c>
      <c r="H40">
        <v>0</v>
      </c>
      <c r="I40">
        <v>24</v>
      </c>
    </row>
    <row r="41">
      <c r="A41" t="str">
        <v>2026-09-15</v>
      </c>
      <c r="B41" t="str">
        <v>12</v>
      </c>
      <c r="C41" t="str">
        <v>PVC PIPE 6" SDR26 SCH40</v>
      </c>
      <c r="D41" t="str">
        <v>KABRA-90</v>
      </c>
      <c r="E41">
        <v>135</v>
      </c>
      <c r="F41">
        <v>30.5</v>
      </c>
      <c r="G41">
        <v>4118</v>
      </c>
      <c r="H41">
        <v>80</v>
      </c>
      <c r="I41">
        <v>14</v>
      </c>
    </row>
    <row r="42">
      <c r="A42" t="str">
        <v>2026-09-15</v>
      </c>
      <c r="B42" t="str">
        <v>249</v>
      </c>
      <c r="C42" t="str">
        <v>uPVC PIPE 110x5.3 PN-12.5 SASO-ISO 1452-2</v>
      </c>
      <c r="D42" t="str">
        <v>KABRA-90</v>
      </c>
      <c r="E42">
        <v>75</v>
      </c>
      <c r="F42">
        <v>17.3</v>
      </c>
      <c r="G42">
        <v>1298</v>
      </c>
      <c r="H42">
        <v>0</v>
      </c>
      <c r="I42">
        <v>5</v>
      </c>
    </row>
    <row r="43">
      <c r="A43" t="str">
        <v>2026-09-15</v>
      </c>
      <c r="B43" t="str">
        <v>257</v>
      </c>
      <c r="C43" t="str">
        <v>PVC PIPE 32MM SASO-ISO 1452-2 PN10 1.6MM</v>
      </c>
      <c r="D43" t="str">
        <v>KTS-200</v>
      </c>
      <c r="E43">
        <v>1210</v>
      </c>
      <c r="F43">
        <v>1.6</v>
      </c>
      <c r="G43">
        <v>1936</v>
      </c>
      <c r="H43">
        <v>0</v>
      </c>
      <c r="I43">
        <v>16</v>
      </c>
    </row>
    <row r="44">
      <c r="A44" t="str">
        <v>2026-09-15</v>
      </c>
      <c r="B44" t="str">
        <v>258</v>
      </c>
      <c r="C44" t="str">
        <v>PVC PIPE 25MM SASO-ISO 1452-2 PN12.5 1.5MM</v>
      </c>
      <c r="D44" t="str">
        <v>KTS-200</v>
      </c>
      <c r="E44">
        <v>400</v>
      </c>
      <c r="F44">
        <v>1.1</v>
      </c>
      <c r="G44">
        <v>440</v>
      </c>
      <c r="H44">
        <v>10</v>
      </c>
      <c r="I44">
        <v>6</v>
      </c>
    </row>
    <row r="45">
      <c r="A45" t="str">
        <v>2026-09-15</v>
      </c>
      <c r="B45" t="str">
        <v>190</v>
      </c>
      <c r="C45" t="str">
        <v>MANARCO PVC PIPE 2" SDR 26 ASTMD 2241</v>
      </c>
      <c r="D45" t="str">
        <v>KTS-170</v>
      </c>
      <c r="E45">
        <v>450</v>
      </c>
      <c r="F45">
        <v>5</v>
      </c>
      <c r="G45">
        <v>2250</v>
      </c>
      <c r="H45">
        <v>15</v>
      </c>
      <c r="I45">
        <v>15</v>
      </c>
    </row>
    <row r="46">
      <c r="A46" t="str">
        <v>2026-09-15</v>
      </c>
      <c r="B46" t="str">
        <v>1006</v>
      </c>
      <c r="C46" t="str">
        <v>PVC COMPOUND FOR INJECTION ORINGE</v>
      </c>
      <c r="D46" t="str">
        <v>KTS-550</v>
      </c>
      <c r="E46">
        <v>8000</v>
      </c>
      <c r="F46">
        <v>1</v>
      </c>
      <c r="G46">
        <v>8000</v>
      </c>
      <c r="H46">
        <v>0</v>
      </c>
      <c r="I46">
        <v>24</v>
      </c>
    </row>
    <row r="47">
      <c r="A47" t="str">
        <v>2026-09-16</v>
      </c>
      <c r="B47" t="str">
        <v>12</v>
      </c>
      <c r="C47" t="str">
        <v>PVC PIPE 6" SDR26 SCH40</v>
      </c>
      <c r="D47" t="str">
        <v>KABRA-90</v>
      </c>
      <c r="E47">
        <v>147</v>
      </c>
      <c r="F47">
        <v>30.5</v>
      </c>
      <c r="G47">
        <v>4484</v>
      </c>
      <c r="H47">
        <v>70</v>
      </c>
      <c r="I47">
        <v>20</v>
      </c>
    </row>
    <row r="48">
      <c r="A48" t="str">
        <v>2026-09-16</v>
      </c>
      <c r="B48" t="str">
        <v>991</v>
      </c>
      <c r="C48" t="str">
        <v>PVC 4" PIPE SDR 26 ASTMD 2241</v>
      </c>
      <c r="D48" t="str">
        <v>KTS-350</v>
      </c>
      <c r="E48">
        <v>420</v>
      </c>
      <c r="F48">
        <v>16</v>
      </c>
      <c r="G48">
        <v>6720</v>
      </c>
      <c r="H48">
        <v>0</v>
      </c>
      <c r="I48">
        <v>24</v>
      </c>
    </row>
    <row r="49">
      <c r="A49" t="str">
        <v>2026-09-16</v>
      </c>
      <c r="B49" t="str">
        <v>258</v>
      </c>
      <c r="C49" t="str">
        <v>PVC PIPE 25MM SASO-ISO 1452-2 PN12.5 1.5MM</v>
      </c>
      <c r="D49" t="str">
        <v>KTS-200</v>
      </c>
      <c r="E49">
        <v>1600</v>
      </c>
      <c r="F49">
        <v>1.1</v>
      </c>
      <c r="G49">
        <v>1760</v>
      </c>
      <c r="H49">
        <v>10</v>
      </c>
      <c r="I49">
        <v>16</v>
      </c>
    </row>
    <row r="50">
      <c r="A50" t="str">
        <v>2026-09-16</v>
      </c>
      <c r="B50" t="str">
        <v>190</v>
      </c>
      <c r="C50" t="str">
        <v>MANARCO PVC PIPE 2" SDR 26 ASTMD 2241</v>
      </c>
      <c r="D50" t="str">
        <v>KTS-170</v>
      </c>
      <c r="E50">
        <v>750</v>
      </c>
      <c r="F50">
        <v>5</v>
      </c>
      <c r="G50">
        <v>3750</v>
      </c>
      <c r="H50">
        <v>0</v>
      </c>
      <c r="I50">
        <v>24</v>
      </c>
    </row>
    <row r="51">
      <c r="A51" t="str">
        <v>2026-09-16</v>
      </c>
      <c r="B51" t="str">
        <v>1006</v>
      </c>
      <c r="C51" t="str">
        <v>PVC COMPOUND FOR INJECTION ORINGE</v>
      </c>
      <c r="D51" t="str">
        <v>KTS-550</v>
      </c>
      <c r="E51">
        <v>5000</v>
      </c>
      <c r="F51">
        <v>1</v>
      </c>
      <c r="G51">
        <v>5000</v>
      </c>
      <c r="H51">
        <v>0</v>
      </c>
      <c r="I51">
        <v>24</v>
      </c>
    </row>
    <row r="52">
      <c r="A52" t="str">
        <v>Grand Total</v>
      </c>
      <c r="E52">
        <f>SUM(E2:E51)</f>
        <v>39590</v>
      </c>
      <c r="G52">
        <f>SUM(G2:G51)</f>
        <v>210848</v>
      </c>
      <c r="H52">
        <f>SUM(H2:H51)</f>
        <v>765</v>
      </c>
      <c r="I52">
        <f>SUM(I2:I51)</f>
        <v>891</v>
      </c>
    </row>
  </sheetData>
  <autoFilter ref="A1:I46"/>
  <pageMargins left="0.75" right="0.75" top="1" bottom="1" header="0.5" footer="0.5"/>
  <ignoredErrors>
    <ignoredError numberStoredAsText="1" sqref="A1:I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2"/>
  <sheetViews>
    <sheetView workbookViewId="0" rightToLeft="0"/>
  </sheetViews>
  <sheetData>
    <row r="1">
      <c r="A1" t="str">
        <v>Item Code</v>
      </c>
      <c r="B1" t="str">
        <v>Product Description &amp; Specs</v>
      </c>
      <c r="C1" t="str">
        <v>Date</v>
      </c>
      <c r="D1" t="str">
        <v>Total Production Qty</v>
      </c>
      <c r="E1" t="str">
        <v>Average Unit Weight (kg)</v>
      </c>
      <c r="F1" t="str">
        <v>Total Weight (kg)</v>
      </c>
      <c r="G1" t="str">
        <v>Total Scrap / Rej (kg)</v>
      </c>
    </row>
    <row r="2">
      <c r="A2" t="str">
        <v>249</v>
      </c>
      <c r="B2" t="str">
        <v>uPVC PIPE 110x5.3 PN-12.5 SASO-ISO 1452-2</v>
      </c>
      <c r="C2" t="str">
        <v>2026-09-07</v>
      </c>
      <c r="D2">
        <v>392</v>
      </c>
      <c r="E2">
        <v>17.3</v>
      </c>
      <c r="F2">
        <v>6782</v>
      </c>
      <c r="G2">
        <v>0</v>
      </c>
    </row>
    <row r="3">
      <c r="A3" t="str">
        <v>991</v>
      </c>
      <c r="B3" t="str">
        <v>PVC 4" PIPE SDR 26 ASTMD 2241</v>
      </c>
      <c r="C3" t="str">
        <v>2026-09-07</v>
      </c>
      <c r="D3">
        <v>140</v>
      </c>
      <c r="E3">
        <v>16</v>
      </c>
      <c r="F3">
        <v>2240</v>
      </c>
      <c r="G3">
        <v>40</v>
      </c>
    </row>
    <row r="4">
      <c r="A4" t="str">
        <v>253</v>
      </c>
      <c r="B4" t="str">
        <v>uPVC PIPE 75MM PN10X3.6MM SASO-ISO-1452-2</v>
      </c>
      <c r="C4" t="str">
        <v>2026-09-07</v>
      </c>
      <c r="D4">
        <v>700</v>
      </c>
      <c r="E4">
        <v>8.2</v>
      </c>
      <c r="F4">
        <v>5740</v>
      </c>
      <c r="G4">
        <v>0</v>
      </c>
    </row>
    <row r="5">
      <c r="A5" t="str">
        <v>255</v>
      </c>
      <c r="B5" t="str">
        <v>uPVC PIPE 50x2.4 PN-10 SASO-ISO 1452-2</v>
      </c>
      <c r="C5" t="str">
        <v>2026-09-07</v>
      </c>
      <c r="D5">
        <v>900</v>
      </c>
      <c r="E5">
        <v>3.8</v>
      </c>
      <c r="F5">
        <v>3420</v>
      </c>
      <c r="G5">
        <v>0</v>
      </c>
    </row>
    <row r="6">
      <c r="A6" t="str">
        <v>198</v>
      </c>
      <c r="B6" t="str">
        <v>PVC PIPE 3/4"SCH40</v>
      </c>
      <c r="C6" t="str">
        <v>2026-09-07</v>
      </c>
      <c r="D6">
        <v>600</v>
      </c>
      <c r="E6">
        <v>1.6</v>
      </c>
      <c r="F6">
        <v>960</v>
      </c>
      <c r="G6">
        <v>0</v>
      </c>
    </row>
    <row r="7">
      <c r="A7" t="str">
        <v>991</v>
      </c>
      <c r="B7" t="str">
        <v>PVC 4" PIPE SDR 26 ASTMD 2241</v>
      </c>
      <c r="C7" t="str">
        <v>2026-09-08</v>
      </c>
      <c r="D7">
        <v>448</v>
      </c>
      <c r="E7">
        <v>16</v>
      </c>
      <c r="F7">
        <v>7168</v>
      </c>
      <c r="G7">
        <v>0</v>
      </c>
    </row>
    <row r="8">
      <c r="A8" t="str">
        <v>249</v>
      </c>
      <c r="B8" t="str">
        <v>uPVC PIPE 110x5.3 PN-12.5 SASO-ISO 1452-2</v>
      </c>
      <c r="C8" t="str">
        <v>2026-09-08</v>
      </c>
      <c r="D8">
        <v>420</v>
      </c>
      <c r="E8">
        <v>17.3</v>
      </c>
      <c r="F8">
        <v>7266</v>
      </c>
      <c r="G8">
        <v>0</v>
      </c>
    </row>
    <row r="9">
      <c r="A9" t="str">
        <v>253</v>
      </c>
      <c r="B9" t="str">
        <v>uPVC PIPE 75MM PN10X3.6MM SASO-ISO-1452-2</v>
      </c>
      <c r="C9" t="str">
        <v>2026-09-08</v>
      </c>
      <c r="D9">
        <v>298</v>
      </c>
      <c r="E9">
        <v>8.2</v>
      </c>
      <c r="F9">
        <v>2444</v>
      </c>
      <c r="G9">
        <v>0</v>
      </c>
    </row>
    <row r="10">
      <c r="A10" t="str">
        <v>195</v>
      </c>
      <c r="B10" t="str">
        <v>uPVC PIPE 75MM 2.2MM GRAY PN-6 EN 1452</v>
      </c>
      <c r="C10" t="str">
        <v>2026-09-08</v>
      </c>
      <c r="D10">
        <v>400</v>
      </c>
      <c r="E10">
        <v>4</v>
      </c>
      <c r="F10">
        <v>1600</v>
      </c>
      <c r="G10">
        <v>15</v>
      </c>
    </row>
    <row r="11">
      <c r="A11" t="str">
        <v>198</v>
      </c>
      <c r="B11" t="str">
        <v>PVC PIPE 3/4"SCH40</v>
      </c>
      <c r="C11" t="str">
        <v>2026-09-08</v>
      </c>
      <c r="D11">
        <v>1600</v>
      </c>
      <c r="E11">
        <v>1.6</v>
      </c>
      <c r="F11">
        <v>2560</v>
      </c>
      <c r="G11">
        <v>0</v>
      </c>
    </row>
    <row r="12">
      <c r="A12" t="str">
        <v>255</v>
      </c>
      <c r="B12" t="str">
        <v>uPVC PIPE 50x2.4 PN-10 SASO-ISO 1452-2</v>
      </c>
      <c r="C12" t="str">
        <v>2026-09-08</v>
      </c>
      <c r="D12">
        <v>900</v>
      </c>
      <c r="E12">
        <v>3.8</v>
      </c>
      <c r="F12">
        <v>3420</v>
      </c>
      <c r="G12">
        <v>0</v>
      </c>
    </row>
    <row r="13">
      <c r="A13" t="str">
        <v>991</v>
      </c>
      <c r="B13" t="str">
        <v>PVC 4" PIPE SDR 26 ASTMD 2241</v>
      </c>
      <c r="C13" t="str">
        <v>2026-09-09</v>
      </c>
      <c r="D13">
        <v>420</v>
      </c>
      <c r="E13">
        <v>16</v>
      </c>
      <c r="F13">
        <v>6720</v>
      </c>
      <c r="G13">
        <v>0</v>
      </c>
    </row>
    <row r="14">
      <c r="A14" t="str">
        <v>249</v>
      </c>
      <c r="B14" t="str">
        <v>uPVC PIPE 110x5.3 PN-12.5 SASO-ISO 1452-2</v>
      </c>
      <c r="C14" t="str">
        <v>2026-09-09</v>
      </c>
      <c r="D14">
        <v>154</v>
      </c>
      <c r="E14">
        <v>17.3</v>
      </c>
      <c r="F14">
        <v>2664</v>
      </c>
      <c r="G14">
        <v>15</v>
      </c>
    </row>
    <row r="15">
      <c r="A15" t="str">
        <v>1291</v>
      </c>
      <c r="B15" t="str">
        <v>MANARCO PVC PIPE 3" SCH 40 ASTMD 1785</v>
      </c>
      <c r="C15" t="str">
        <v>2026-09-09</v>
      </c>
      <c r="D15">
        <v>175</v>
      </c>
      <c r="E15">
        <v>15</v>
      </c>
      <c r="F15">
        <v>2625</v>
      </c>
      <c r="G15">
        <v>20</v>
      </c>
    </row>
    <row r="16">
      <c r="A16" t="str">
        <v>195</v>
      </c>
      <c r="B16" t="str">
        <v>uPVC PIPE 75MM 2.2MM GRAY PN-6 EN 1452</v>
      </c>
      <c r="C16" t="str">
        <v>2026-09-09</v>
      </c>
      <c r="D16">
        <v>1000</v>
      </c>
      <c r="E16">
        <v>4</v>
      </c>
      <c r="F16">
        <v>4000</v>
      </c>
      <c r="G16">
        <v>10</v>
      </c>
    </row>
    <row r="17">
      <c r="A17" t="str">
        <v>198</v>
      </c>
      <c r="B17" t="str">
        <v>PVC PIPE 3/4"SCH40</v>
      </c>
      <c r="C17" t="str">
        <v>2026-09-09</v>
      </c>
      <c r="D17">
        <v>1600</v>
      </c>
      <c r="E17">
        <v>1.6</v>
      </c>
      <c r="F17">
        <v>2560</v>
      </c>
      <c r="G17">
        <v>0</v>
      </c>
    </row>
    <row r="18">
      <c r="A18" t="str">
        <v>255</v>
      </c>
      <c r="B18" t="str">
        <v>uPVC PIPE 50x2.4 PN-10 SASO-ISO 1452-2</v>
      </c>
      <c r="C18" t="str">
        <v>2026-09-09</v>
      </c>
      <c r="D18">
        <v>850</v>
      </c>
      <c r="E18">
        <v>3.8</v>
      </c>
      <c r="F18">
        <v>3230</v>
      </c>
      <c r="G18">
        <v>0</v>
      </c>
    </row>
    <row r="19">
      <c r="A19" t="str">
        <v>991</v>
      </c>
      <c r="B19" t="str">
        <v>PVC 4" PIPE SDR 26 ASTMD 2241</v>
      </c>
      <c r="C19" t="str">
        <v>2026-09-10</v>
      </c>
      <c r="D19">
        <v>448</v>
      </c>
      <c r="E19">
        <v>16</v>
      </c>
      <c r="F19">
        <v>7168</v>
      </c>
      <c r="G19">
        <v>0</v>
      </c>
    </row>
    <row r="20">
      <c r="A20" t="str">
        <v>1291</v>
      </c>
      <c r="B20" t="str">
        <v>MANARCO PVC PIPE 3" SCH 40 ASTMD 1785</v>
      </c>
      <c r="C20" t="str">
        <v>2026-09-10</v>
      </c>
      <c r="D20">
        <v>420</v>
      </c>
      <c r="E20">
        <v>15</v>
      </c>
      <c r="F20">
        <v>6300</v>
      </c>
      <c r="G20">
        <v>0</v>
      </c>
    </row>
    <row r="21">
      <c r="A21" t="str">
        <v>195</v>
      </c>
      <c r="B21" t="str">
        <v>uPVC PIPE 75MM 2.2MM GRAY PN-6 EN 1452</v>
      </c>
      <c r="C21" t="str">
        <v>2026-09-10</v>
      </c>
      <c r="D21">
        <v>609</v>
      </c>
      <c r="E21">
        <v>4</v>
      </c>
      <c r="F21">
        <v>2436</v>
      </c>
      <c r="G21">
        <v>10</v>
      </c>
    </row>
    <row r="22">
      <c r="A22" t="str">
        <v>247 R</v>
      </c>
      <c r="B22" t="str">
        <v>uPVC PIPE 160MM SASO-ISO 1452-2 PN12.5 7.7MM R/R</v>
      </c>
      <c r="C22" t="str">
        <v>2026-09-10</v>
      </c>
      <c r="D22">
        <v>60</v>
      </c>
      <c r="E22">
        <v>36.5</v>
      </c>
      <c r="F22">
        <v>2190</v>
      </c>
      <c r="G22">
        <v>85</v>
      </c>
    </row>
    <row r="23">
      <c r="A23" t="str">
        <v>198</v>
      </c>
      <c r="B23" t="str">
        <v>PVC PIPE 3/4"SCH40</v>
      </c>
      <c r="C23" t="str">
        <v>2026-09-10</v>
      </c>
      <c r="D23">
        <v>237</v>
      </c>
      <c r="E23">
        <v>1.6</v>
      </c>
      <c r="F23">
        <v>379</v>
      </c>
      <c r="G23">
        <v>5</v>
      </c>
    </row>
    <row r="24">
      <c r="A24" t="str">
        <v>255</v>
      </c>
      <c r="B24" t="str">
        <v>uPVC PIPE 50x2.4 PN-10 SASO-ISO 1452-2</v>
      </c>
      <c r="C24" t="str">
        <v>2026-09-10</v>
      </c>
      <c r="D24">
        <v>350</v>
      </c>
      <c r="E24">
        <v>3.8</v>
      </c>
      <c r="F24">
        <v>1330</v>
      </c>
      <c r="G24">
        <v>5</v>
      </c>
    </row>
    <row r="25">
      <c r="A25" t="str">
        <v>197</v>
      </c>
      <c r="B25" t="str">
        <v>PVC 1" PIPE SCH40 ASTMD 2241</v>
      </c>
      <c r="C25" t="str">
        <v>2026-09-10</v>
      </c>
      <c r="D25">
        <v>500</v>
      </c>
      <c r="E25">
        <v>2.8</v>
      </c>
      <c r="F25">
        <v>1400</v>
      </c>
      <c r="G25">
        <v>0</v>
      </c>
    </row>
    <row r="26">
      <c r="A26" t="str">
        <v>247 R</v>
      </c>
      <c r="B26" t="str">
        <v>uPVC PIPE 160MM SASO-ISO 1452-2 PN12.5 7.7MM R/R</v>
      </c>
      <c r="C26" t="str">
        <v>2026-09-12</v>
      </c>
      <c r="D26">
        <v>285</v>
      </c>
      <c r="E26">
        <v>36.5</v>
      </c>
      <c r="F26">
        <v>10403</v>
      </c>
      <c r="G26">
        <v>50</v>
      </c>
    </row>
    <row r="27">
      <c r="A27" t="str">
        <v>230</v>
      </c>
      <c r="B27" t="str">
        <v>PVC PIPE 160MM EN1452 PN7.5 4.7MM GRAY R/R</v>
      </c>
      <c r="C27" t="str">
        <v>2026-09-12</v>
      </c>
      <c r="D27">
        <v>84</v>
      </c>
      <c r="E27">
        <v>22</v>
      </c>
      <c r="F27">
        <v>1848</v>
      </c>
      <c r="G27">
        <v>20</v>
      </c>
    </row>
    <row r="28">
      <c r="A28" t="str">
        <v>991</v>
      </c>
      <c r="B28" t="str">
        <v>PVC 4" PIPE SDR 26 ASTMD 2241</v>
      </c>
      <c r="C28" t="str">
        <v>2026-09-12</v>
      </c>
      <c r="D28">
        <v>224</v>
      </c>
      <c r="E28">
        <v>16</v>
      </c>
      <c r="F28">
        <v>3584</v>
      </c>
      <c r="G28">
        <v>40</v>
      </c>
    </row>
    <row r="29">
      <c r="A29" t="str">
        <v>249</v>
      </c>
      <c r="B29" t="str">
        <v>uPVC PIPE 110x5.3 PN-12.5 SASO-ISO 1452-2</v>
      </c>
      <c r="C29" t="str">
        <v>2026-09-12</v>
      </c>
      <c r="D29">
        <v>364</v>
      </c>
      <c r="E29">
        <v>17.3</v>
      </c>
      <c r="F29">
        <v>6297</v>
      </c>
      <c r="G29">
        <v>40</v>
      </c>
    </row>
    <row r="30">
      <c r="A30" t="str">
        <v>197</v>
      </c>
      <c r="B30" t="str">
        <v>PVC 1" PIPE SCH40 ASTMD 2241</v>
      </c>
      <c r="C30" t="str">
        <v>2026-09-12</v>
      </c>
      <c r="D30">
        <v>315</v>
      </c>
      <c r="E30">
        <v>2.8</v>
      </c>
      <c r="F30">
        <v>882</v>
      </c>
      <c r="G30">
        <v>5</v>
      </c>
    </row>
    <row r="31">
      <c r="A31" t="str">
        <v>247 R</v>
      </c>
      <c r="B31" t="str">
        <v>uPVC PIPE 160MM SASO-ISO 1452-2 PN12.5 7.7MM R/R</v>
      </c>
      <c r="C31" t="str">
        <v>2026-09-13</v>
      </c>
      <c r="D31">
        <v>285</v>
      </c>
      <c r="E31">
        <v>36.5</v>
      </c>
      <c r="F31">
        <v>10403</v>
      </c>
      <c r="G31">
        <v>0</v>
      </c>
    </row>
    <row r="32">
      <c r="A32" t="str">
        <v>991</v>
      </c>
      <c r="B32" t="str">
        <v>PVC 4" PIPE SDR 26 ASTMD 2241</v>
      </c>
      <c r="C32" t="str">
        <v>2026-09-13</v>
      </c>
      <c r="D32">
        <v>420</v>
      </c>
      <c r="E32">
        <v>16</v>
      </c>
      <c r="F32">
        <v>6720</v>
      </c>
      <c r="G32">
        <v>0</v>
      </c>
    </row>
    <row r="33">
      <c r="A33" t="str">
        <v>249</v>
      </c>
      <c r="B33" t="str">
        <v>uPVC PIPE 110x5.3 PN-12.5 SASO-ISO 1452-2</v>
      </c>
      <c r="C33" t="str">
        <v>2026-09-13</v>
      </c>
      <c r="D33">
        <v>364</v>
      </c>
      <c r="E33">
        <v>15</v>
      </c>
      <c r="F33">
        <v>5460</v>
      </c>
      <c r="G33">
        <v>0</v>
      </c>
    </row>
    <row r="34">
      <c r="A34" t="str">
        <v>247 R</v>
      </c>
      <c r="B34" t="str">
        <v>uPVC PIPE 160MM SASO-ISO 1452-2 PN12.5 7.7MM R/R</v>
      </c>
      <c r="C34" t="str">
        <v>2026-09-14</v>
      </c>
      <c r="D34">
        <v>285</v>
      </c>
      <c r="E34">
        <v>36.5</v>
      </c>
      <c r="F34">
        <v>10403</v>
      </c>
      <c r="G34">
        <v>0</v>
      </c>
    </row>
    <row r="35">
      <c r="A35" t="str">
        <v>991</v>
      </c>
      <c r="B35" t="str">
        <v>PVC 4" PIPE SDR 26 ASTMD 2241</v>
      </c>
      <c r="C35" t="str">
        <v>2026-09-14</v>
      </c>
      <c r="D35">
        <v>420</v>
      </c>
      <c r="E35">
        <v>16</v>
      </c>
      <c r="F35">
        <v>6720</v>
      </c>
      <c r="G35">
        <v>35</v>
      </c>
    </row>
    <row r="36">
      <c r="A36" t="str">
        <v>249</v>
      </c>
      <c r="B36" t="str">
        <v>uPVC PIPE 110x5.3 PN-12.5 SASO-ISO 1452-2</v>
      </c>
      <c r="C36" t="str">
        <v>2026-09-14</v>
      </c>
      <c r="D36">
        <v>420</v>
      </c>
      <c r="E36">
        <v>17.3</v>
      </c>
      <c r="F36">
        <v>7266</v>
      </c>
      <c r="G36">
        <v>0</v>
      </c>
    </row>
    <row r="37">
      <c r="A37" t="str">
        <v>257</v>
      </c>
      <c r="B37" t="str">
        <v>PVC PIPE 32MM SASO-ISO 1452-2 PN10 1.6MM</v>
      </c>
      <c r="C37" t="str">
        <v>2026-09-14</v>
      </c>
      <c r="D37">
        <v>800</v>
      </c>
      <c r="E37">
        <v>1.6</v>
      </c>
      <c r="F37">
        <v>1280</v>
      </c>
      <c r="G37">
        <v>5</v>
      </c>
    </row>
    <row r="38">
      <c r="A38" t="str">
        <v>1006</v>
      </c>
      <c r="B38" t="str">
        <v>PVC COMPOUND FOR INJECTION ORINGE</v>
      </c>
      <c r="C38" t="str">
        <v>2026-09-14</v>
      </c>
      <c r="D38">
        <v>3000</v>
      </c>
      <c r="E38">
        <v>1</v>
      </c>
      <c r="F38">
        <v>3000</v>
      </c>
      <c r="G38">
        <v>0</v>
      </c>
    </row>
    <row r="39">
      <c r="A39" t="str">
        <v>247 R</v>
      </c>
      <c r="B39" t="str">
        <v>uPVC PIPE 160MM SASO-ISO 1452-2 PN12.5 7.7MM R/R</v>
      </c>
      <c r="C39" t="str">
        <v>2026-09-15</v>
      </c>
      <c r="D39">
        <v>96</v>
      </c>
      <c r="E39">
        <v>36.5</v>
      </c>
      <c r="F39">
        <v>3504</v>
      </c>
      <c r="G39">
        <v>180</v>
      </c>
    </row>
    <row r="40">
      <c r="A40" t="str">
        <v>991</v>
      </c>
      <c r="B40" t="str">
        <v>PVC 4" PIPE SDR 26 ASTMD 2241</v>
      </c>
      <c r="C40" t="str">
        <v>2026-09-15</v>
      </c>
      <c r="D40">
        <v>420</v>
      </c>
      <c r="E40">
        <v>16</v>
      </c>
      <c r="F40">
        <v>6720</v>
      </c>
      <c r="G40">
        <v>0</v>
      </c>
    </row>
    <row r="41">
      <c r="A41" t="str">
        <v>12</v>
      </c>
      <c r="B41" t="str">
        <v>PVC PIPE 6" SDR26 SCH40</v>
      </c>
      <c r="C41" t="str">
        <v>2026-09-15</v>
      </c>
      <c r="D41">
        <v>135</v>
      </c>
      <c r="E41">
        <v>30.5</v>
      </c>
      <c r="F41">
        <v>4118</v>
      </c>
      <c r="G41">
        <v>80</v>
      </c>
    </row>
    <row r="42">
      <c r="A42" t="str">
        <v>249</v>
      </c>
      <c r="B42" t="str">
        <v>uPVC PIPE 110x5.3 PN-12.5 SASO-ISO 1452-2</v>
      </c>
      <c r="C42" t="str">
        <v>2026-09-15</v>
      </c>
      <c r="D42">
        <v>75</v>
      </c>
      <c r="E42">
        <v>17.3</v>
      </c>
      <c r="F42">
        <v>1298</v>
      </c>
      <c r="G42">
        <v>0</v>
      </c>
    </row>
    <row r="43">
      <c r="A43" t="str">
        <v>257</v>
      </c>
      <c r="B43" t="str">
        <v>PVC PIPE 32MM SASO-ISO 1452-2 PN10 1.6MM</v>
      </c>
      <c r="C43" t="str">
        <v>2026-09-15</v>
      </c>
      <c r="D43">
        <v>1210</v>
      </c>
      <c r="E43">
        <v>1.6</v>
      </c>
      <c r="F43">
        <v>1936</v>
      </c>
      <c r="G43">
        <v>0</v>
      </c>
    </row>
    <row r="44">
      <c r="A44" t="str">
        <v>258</v>
      </c>
      <c r="B44" t="str">
        <v>PVC PIPE 25MM SASO-ISO 1452-2 PN12.5 1.5MM</v>
      </c>
      <c r="C44" t="str">
        <v>2026-09-15</v>
      </c>
      <c r="D44">
        <v>400</v>
      </c>
      <c r="E44">
        <v>1.1</v>
      </c>
      <c r="F44">
        <v>440</v>
      </c>
      <c r="G44">
        <v>10</v>
      </c>
    </row>
    <row r="45">
      <c r="A45" t="str">
        <v>190</v>
      </c>
      <c r="B45" t="str">
        <v>MANARCO PVC PIPE 2" SDR 26 ASTMD 2241</v>
      </c>
      <c r="C45" t="str">
        <v>2026-09-15</v>
      </c>
      <c r="D45">
        <v>450</v>
      </c>
      <c r="E45">
        <v>5</v>
      </c>
      <c r="F45">
        <v>2250</v>
      </c>
      <c r="G45">
        <v>15</v>
      </c>
    </row>
    <row r="46">
      <c r="A46" t="str">
        <v>1006</v>
      </c>
      <c r="B46" t="str">
        <v>PVC COMPOUND FOR INJECTION ORINGE</v>
      </c>
      <c r="C46" t="str">
        <v>2026-09-15</v>
      </c>
      <c r="D46">
        <v>8000</v>
      </c>
      <c r="E46">
        <v>1</v>
      </c>
      <c r="F46">
        <v>8000</v>
      </c>
      <c r="G46">
        <v>0</v>
      </c>
    </row>
    <row r="47">
      <c r="A47" t="str">
        <v>12</v>
      </c>
      <c r="B47" t="str">
        <v>PVC PIPE 6" SDR26 SCH40</v>
      </c>
      <c r="C47" t="str">
        <v>2026-09-16</v>
      </c>
      <c r="D47">
        <v>147</v>
      </c>
      <c r="E47">
        <v>30.5</v>
      </c>
      <c r="F47">
        <v>4484</v>
      </c>
      <c r="G47">
        <v>70</v>
      </c>
    </row>
    <row r="48">
      <c r="A48" t="str">
        <v>991</v>
      </c>
      <c r="B48" t="str">
        <v>PVC 4" PIPE SDR 26 ASTMD 2241</v>
      </c>
      <c r="C48" t="str">
        <v>2026-09-16</v>
      </c>
      <c r="D48">
        <v>420</v>
      </c>
      <c r="E48">
        <v>16</v>
      </c>
      <c r="F48">
        <v>6720</v>
      </c>
      <c r="G48">
        <v>0</v>
      </c>
    </row>
    <row r="49">
      <c r="A49" t="str">
        <v>258</v>
      </c>
      <c r="B49" t="str">
        <v>PVC PIPE 25MM SASO-ISO 1452-2 PN12.5 1.5MM</v>
      </c>
      <c r="C49" t="str">
        <v>2026-09-16</v>
      </c>
      <c r="D49">
        <v>1600</v>
      </c>
      <c r="E49">
        <v>1.1</v>
      </c>
      <c r="F49">
        <v>1760</v>
      </c>
      <c r="G49">
        <v>10</v>
      </c>
    </row>
    <row r="50">
      <c r="A50" t="str">
        <v>190</v>
      </c>
      <c r="B50" t="str">
        <v>MANARCO PVC PIPE 2" SDR 26 ASTMD 2241</v>
      </c>
      <c r="C50" t="str">
        <v>2026-09-16</v>
      </c>
      <c r="D50">
        <v>750</v>
      </c>
      <c r="E50">
        <v>5</v>
      </c>
      <c r="F50">
        <v>3750</v>
      </c>
      <c r="G50">
        <v>0</v>
      </c>
    </row>
    <row r="51">
      <c r="A51" t="str">
        <v>1006</v>
      </c>
      <c r="B51" t="str">
        <v>PVC COMPOUND FOR INJECTION ORINGE</v>
      </c>
      <c r="C51" t="str">
        <v>2026-09-16</v>
      </c>
      <c r="D51">
        <v>5000</v>
      </c>
      <c r="E51">
        <v>1</v>
      </c>
      <c r="F51">
        <v>5000</v>
      </c>
      <c r="G51">
        <v>0</v>
      </c>
    </row>
    <row r="52">
      <c r="A52" t="str">
        <v>Grand Total</v>
      </c>
      <c r="D52">
        <f>SUM(D2:D51)</f>
        <v>39590</v>
      </c>
      <c r="F52">
        <f>SUM(F2:F51)</f>
        <v>210848</v>
      </c>
      <c r="G52">
        <f>SUM(G2:G51)</f>
        <v>765</v>
      </c>
    </row>
  </sheetData>
  <autoFilter ref="A1:G46"/>
  <pageMargins left="0.75" right="0.75" top="1" bottom="1" header="0.5" footer="0.5"/>
  <ignoredErrors>
    <ignoredError numberStoredAsText="1" sqref="A1:G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 rightToLeft="0"/>
  </sheetViews>
  <sheetData>
    <row r="1">
      <c r="A1" t="str">
        <v xml:space="preserve"> (Line ID)</v>
      </c>
      <c r="B1" t="str">
        <v xml:space="preserve"> (Machine Name)</v>
      </c>
      <c r="C1" t="str">
        <v xml:space="preserve"> kg/h (Nominal Capacity)</v>
      </c>
    </row>
    <row r="2">
      <c r="A2" t="str">
        <v>L-01</v>
      </c>
      <c r="B2" t="str">
        <v>KTS 550</v>
      </c>
      <c r="C2">
        <v>400</v>
      </c>
    </row>
    <row r="3">
      <c r="A3" t="str">
        <v>L-02</v>
      </c>
      <c r="B3" t="str">
        <v>KTS 250 TDH</v>
      </c>
      <c r="C3">
        <v>200</v>
      </c>
    </row>
    <row r="4">
      <c r="A4" t="str">
        <v>L-03</v>
      </c>
      <c r="B4" t="str">
        <v>KTS 700</v>
      </c>
      <c r="C4">
        <v>500</v>
      </c>
    </row>
    <row r="5">
      <c r="A5" t="str">
        <v>L-04</v>
      </c>
      <c r="B5" t="str">
        <v>KTS 200</v>
      </c>
      <c r="C5">
        <v>180</v>
      </c>
    </row>
    <row r="6">
      <c r="A6" t="str">
        <v>L-05</v>
      </c>
      <c r="B6" t="str">
        <v>KTS 350</v>
      </c>
      <c r="C6">
        <v>290</v>
      </c>
    </row>
    <row r="7">
      <c r="A7" t="str">
        <v>L-06</v>
      </c>
      <c r="B7" t="str">
        <v>Kabra 90</v>
      </c>
      <c r="C7">
        <v>380</v>
      </c>
    </row>
    <row r="8">
      <c r="A8" t="str">
        <v>L-07</v>
      </c>
      <c r="B8" t="str">
        <v>KTS 170</v>
      </c>
      <c r="C8">
        <v>135</v>
      </c>
    </row>
    <row r="9">
      <c r="A9" t="str">
        <v>L-08</v>
      </c>
      <c r="B9" t="str">
        <v>KTS 350 TDH</v>
      </c>
      <c r="C9">
        <v>300</v>
      </c>
    </row>
    <row r="10">
      <c r="A10" t="str">
        <v>L-09</v>
      </c>
      <c r="B10" t="str">
        <v>Bausano</v>
      </c>
      <c r="C10">
        <v>1100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Production Log</vt:lpstr>
      <vt:lpstr>Items Consolidated Summary</vt:lpstr>
      <vt:lpstr>Machine_Master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2026-09-16T16:18:06Z</dcterms:created>
  <dcterms:modified xsi:type="dcterms:W3CDTF">2026-09-17T09:49:59Z</dcterms:modified>
  <cp:lastModifiedBy>Khaled Taha</cp:lastModifiedBy>
  <dc:creator>openpyxl</dc:creator>
</cp:coreProperties>
</file>